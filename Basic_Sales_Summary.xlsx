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_rels/sheet2.xml.rels" ContentType="application/vnd.openxmlformats-package.relationship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Summary" sheetId="1" state="visible" r:id="rId3"/>
    <sheet name="Sales Data" sheetId="2" state="visible" r:id="rId4"/>
  </sheets>
  <definedNames>
    <definedName function="false" hidden="true" localSheetId="1" name="_xlnm._FilterDatabase" vbProcedure="false">'Sales Data'!$A$1:$I$201</definedName>
  </definedName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<sst xmlns="http://schemas.openxmlformats.org/spreadsheetml/2006/main" count="1038" uniqueCount="277">
  <si>
    <t xml:space="preserve">Basic Sales Summary</t>
  </si>
  <si>
    <t xml:space="preserve">Data source: 'Sales Data' sheet (sample retail dataset). All figures are live formulas.</t>
  </si>
  <si>
    <t xml:space="preserve">KEY PERFORMANCE INDICATORS</t>
  </si>
  <si>
    <t xml:space="preserve">KPI 1 — Total Sales</t>
  </si>
  <si>
    <t xml:space="preserve">KPI 2 — Average Sales per Transaction</t>
  </si>
  <si>
    <t xml:space="preserve">KPI 3 — Transaction Count</t>
  </si>
  <si>
    <t xml:space="preserve">MANUAL VERIFICATION</t>
  </si>
  <si>
    <t xml:space="preserve">Total ÷ Count (should equal KPI 2)</t>
  </si>
  <si>
    <t xml:space="preserve">Difference vs KPI 2</t>
  </si>
  <si>
    <t xml:space="preserve">Check</t>
  </si>
  <si>
    <t xml:space="preserve">SALES BY REGION</t>
  </si>
  <si>
    <t xml:space="preserve">Region</t>
  </si>
  <si>
    <t xml:space="preserve">Total Sales</t>
  </si>
  <si>
    <t xml:space="preserve">Avg Sales</t>
  </si>
  <si>
    <t xml:space="preserve">Transactions</t>
  </si>
  <si>
    <t xml:space="preserve">North</t>
  </si>
  <si>
    <t xml:space="preserve">South</t>
  </si>
  <si>
    <t xml:space="preserve">East</t>
  </si>
  <si>
    <t xml:space="preserve">West</t>
  </si>
  <si>
    <t xml:space="preserve">Total</t>
  </si>
  <si>
    <t xml:space="preserve">SALES BY CATEGORY</t>
  </si>
  <si>
    <t xml:space="preserve">Category</t>
  </si>
  <si>
    <t xml:space="preserve">Technology</t>
  </si>
  <si>
    <t xml:space="preserve">Furniture</t>
  </si>
  <si>
    <t xml:space="preserve">Office Supplies</t>
  </si>
  <si>
    <t xml:space="preserve">Note: To use your own data (e.g., Superstore / Retail Sales), paste it into 'Sales Data' keeping Sales in column I and extend the ranges if you have more than 200 rows.</t>
  </si>
  <si>
    <t xml:space="preserve">Order ID</t>
  </si>
  <si>
    <t xml:space="preserve">Order Date</t>
  </si>
  <si>
    <t xml:space="preserve">Customer</t>
  </si>
  <si>
    <t xml:space="preserve">Product</t>
  </si>
  <si>
    <t xml:space="preserve">Quantity</t>
  </si>
  <si>
    <t xml:space="preserve">Unit Price</t>
  </si>
  <si>
    <t xml:space="preserve">Sales</t>
  </si>
  <si>
    <t xml:space="preserve">ORD-1001</t>
  </si>
  <si>
    <t xml:space="preserve">Customer 09</t>
  </si>
  <si>
    <t xml:space="preserve">Monitor</t>
  </si>
  <si>
    <t xml:space="preserve">ORD-1002</t>
  </si>
  <si>
    <t xml:space="preserve">Customer 15</t>
  </si>
  <si>
    <t xml:space="preserve">Office Chair</t>
  </si>
  <si>
    <t xml:space="preserve">ORD-1003</t>
  </si>
  <si>
    <t xml:space="preserve">Customer 28</t>
  </si>
  <si>
    <t xml:space="preserve">ORD-1004</t>
  </si>
  <si>
    <t xml:space="preserve">Customer 05</t>
  </si>
  <si>
    <t xml:space="preserve">Bookcase</t>
  </si>
  <si>
    <t xml:space="preserve">ORD-1005</t>
  </si>
  <si>
    <t xml:space="preserve">Customer 21</t>
  </si>
  <si>
    <t xml:space="preserve">Stapler</t>
  </si>
  <si>
    <t xml:space="preserve">ORD-1006</t>
  </si>
  <si>
    <t xml:space="preserve">Customer 03</t>
  </si>
  <si>
    <t xml:space="preserve">ORD-1007</t>
  </si>
  <si>
    <t xml:space="preserve">Customer 29</t>
  </si>
  <si>
    <t xml:space="preserve">USB Hub</t>
  </si>
  <si>
    <t xml:space="preserve">ORD-1008</t>
  </si>
  <si>
    <t xml:space="preserve">Customer 06</t>
  </si>
  <si>
    <t xml:space="preserve">Notebook Pack</t>
  </si>
  <si>
    <t xml:space="preserve">ORD-1009</t>
  </si>
  <si>
    <t xml:space="preserve">Paper Ream</t>
  </si>
  <si>
    <t xml:space="preserve">ORD-1010</t>
  </si>
  <si>
    <t xml:space="preserve">Customer 17</t>
  </si>
  <si>
    <t xml:space="preserve">Pen Set</t>
  </si>
  <si>
    <t xml:space="preserve">ORD-1011</t>
  </si>
  <si>
    <t xml:space="preserve">Wireless Mouse</t>
  </si>
  <si>
    <t xml:space="preserve">ORD-1012</t>
  </si>
  <si>
    <t xml:space="preserve">Customer 22</t>
  </si>
  <si>
    <t xml:space="preserve">Keyboard</t>
  </si>
  <si>
    <t xml:space="preserve">ORD-1013</t>
  </si>
  <si>
    <t xml:space="preserve">Standing Desk</t>
  </si>
  <si>
    <t xml:space="preserve">ORD-1014</t>
  </si>
  <si>
    <t xml:space="preserve">Customer 20</t>
  </si>
  <si>
    <t xml:space="preserve">ORD-1015</t>
  </si>
  <si>
    <t xml:space="preserve">ORD-1016</t>
  </si>
  <si>
    <t xml:space="preserve">Customer 23</t>
  </si>
  <si>
    <t xml:space="preserve">ORD-1017</t>
  </si>
  <si>
    <t xml:space="preserve">Customer 14</t>
  </si>
  <si>
    <t xml:space="preserve">ORD-1018</t>
  </si>
  <si>
    <t xml:space="preserve">Customer 12</t>
  </si>
  <si>
    <t xml:space="preserve">ORD-1019</t>
  </si>
  <si>
    <t xml:space="preserve">Customer 26</t>
  </si>
  <si>
    <t xml:space="preserve">ORD-1020</t>
  </si>
  <si>
    <t xml:space="preserve">Customer 07</t>
  </si>
  <si>
    <t xml:space="preserve">ORD-1021</t>
  </si>
  <si>
    <t xml:space="preserve">Customer 10</t>
  </si>
  <si>
    <t xml:space="preserve">ORD-1022</t>
  </si>
  <si>
    <t xml:space="preserve">Customer 25</t>
  </si>
  <si>
    <t xml:space="preserve">ORD-1023</t>
  </si>
  <si>
    <t xml:space="preserve">ORD-1024</t>
  </si>
  <si>
    <t xml:space="preserve">ORD-1025</t>
  </si>
  <si>
    <t xml:space="preserve">ORD-1026</t>
  </si>
  <si>
    <t xml:space="preserve">Customer 13</t>
  </si>
  <si>
    <t xml:space="preserve">ORD-1027</t>
  </si>
  <si>
    <t xml:space="preserve">Customer 16</t>
  </si>
  <si>
    <t xml:space="preserve">ORD-1028</t>
  </si>
  <si>
    <t xml:space="preserve">Headphones</t>
  </si>
  <si>
    <t xml:space="preserve">ORD-1029</t>
  </si>
  <si>
    <t xml:space="preserve">ORD-1030</t>
  </si>
  <si>
    <t xml:space="preserve">ORD-1031</t>
  </si>
  <si>
    <t xml:space="preserve">ORD-1032</t>
  </si>
  <si>
    <t xml:space="preserve">Desk Lamp</t>
  </si>
  <si>
    <t xml:space="preserve">ORD-1033</t>
  </si>
  <si>
    <t xml:space="preserve">Customer 30</t>
  </si>
  <si>
    <t xml:space="preserve">ORD-1034</t>
  </si>
  <si>
    <t xml:space="preserve">ORD-1035</t>
  </si>
  <si>
    <t xml:space="preserve">ORD-1036</t>
  </si>
  <si>
    <t xml:space="preserve">ORD-1037</t>
  </si>
  <si>
    <t xml:space="preserve">ORD-1038</t>
  </si>
  <si>
    <t xml:space="preserve">ORD-1039</t>
  </si>
  <si>
    <t xml:space="preserve">ORD-1040</t>
  </si>
  <si>
    <t xml:space="preserve">ORD-1041</t>
  </si>
  <si>
    <t xml:space="preserve">ORD-1042</t>
  </si>
  <si>
    <t xml:space="preserve">ORD-1043</t>
  </si>
  <si>
    <t xml:space="preserve">Customer 19</t>
  </si>
  <si>
    <t xml:space="preserve">ORD-1044</t>
  </si>
  <si>
    <t xml:space="preserve">ORD-1045</t>
  </si>
  <si>
    <t xml:space="preserve">ORD-1046</t>
  </si>
  <si>
    <t xml:space="preserve">Customer 27</t>
  </si>
  <si>
    <t xml:space="preserve">ORD-1047</t>
  </si>
  <si>
    <t xml:space="preserve">ORD-1048</t>
  </si>
  <si>
    <t xml:space="preserve">Customer 01</t>
  </si>
  <si>
    <t xml:space="preserve">ORD-1049</t>
  </si>
  <si>
    <t xml:space="preserve">Binder</t>
  </si>
  <si>
    <t xml:space="preserve">ORD-1050</t>
  </si>
  <si>
    <t xml:space="preserve">ORD-1051</t>
  </si>
  <si>
    <t xml:space="preserve">ORD-1052</t>
  </si>
  <si>
    <t xml:space="preserve">ORD-1053</t>
  </si>
  <si>
    <t xml:space="preserve">ORD-1054</t>
  </si>
  <si>
    <t xml:space="preserve">ORD-1055</t>
  </si>
  <si>
    <t xml:space="preserve">ORD-1056</t>
  </si>
  <si>
    <t xml:space="preserve">ORD-1057</t>
  </si>
  <si>
    <t xml:space="preserve">ORD-1058</t>
  </si>
  <si>
    <t xml:space="preserve">ORD-1059</t>
  </si>
  <si>
    <t xml:space="preserve">ORD-1060</t>
  </si>
  <si>
    <t xml:space="preserve">ORD-1061</t>
  </si>
  <si>
    <t xml:space="preserve">Customer 04</t>
  </si>
  <si>
    <t xml:space="preserve">ORD-1062</t>
  </si>
  <si>
    <t xml:space="preserve">ORD-1063</t>
  </si>
  <si>
    <t xml:space="preserve">ORD-1064</t>
  </si>
  <si>
    <t xml:space="preserve">Customer 18</t>
  </si>
  <si>
    <t xml:space="preserve">ORD-1065</t>
  </si>
  <si>
    <t xml:space="preserve">ORD-1066</t>
  </si>
  <si>
    <t xml:space="preserve">Customer 08</t>
  </si>
  <si>
    <t xml:space="preserve">ORD-1067</t>
  </si>
  <si>
    <t xml:space="preserve">Customer 11</t>
  </si>
  <si>
    <t xml:space="preserve">ORD-1068</t>
  </si>
  <si>
    <t xml:space="preserve">ORD-1069</t>
  </si>
  <si>
    <t xml:space="preserve">ORD-1070</t>
  </si>
  <si>
    <t xml:space="preserve">ORD-1071</t>
  </si>
  <si>
    <t xml:space="preserve">ORD-1072</t>
  </si>
  <si>
    <t xml:space="preserve">Customer 02</t>
  </si>
  <si>
    <t xml:space="preserve">ORD-1073</t>
  </si>
  <si>
    <t xml:space="preserve">ORD-1074</t>
  </si>
  <si>
    <t xml:space="preserve">ORD-1075</t>
  </si>
  <si>
    <t xml:space="preserve">ORD-1076</t>
  </si>
  <si>
    <t xml:space="preserve">ORD-1077</t>
  </si>
  <si>
    <t xml:space="preserve">ORD-1078</t>
  </si>
  <si>
    <t xml:space="preserve">ORD-1079</t>
  </si>
  <si>
    <t xml:space="preserve">ORD-1080</t>
  </si>
  <si>
    <t xml:space="preserve">ORD-1081</t>
  </si>
  <si>
    <t xml:space="preserve">ORD-1082</t>
  </si>
  <si>
    <t xml:space="preserve">ORD-1083</t>
  </si>
  <si>
    <t xml:space="preserve">ORD-1084</t>
  </si>
  <si>
    <t xml:space="preserve">ORD-1085</t>
  </si>
  <si>
    <t xml:space="preserve">ORD-1086</t>
  </si>
  <si>
    <t xml:space="preserve">ORD-1087</t>
  </si>
  <si>
    <t xml:space="preserve">ORD-1088</t>
  </si>
  <si>
    <t xml:space="preserve">ORD-1089</t>
  </si>
  <si>
    <t xml:space="preserve">ORD-1090</t>
  </si>
  <si>
    <t xml:space="preserve">ORD-1091</t>
  </si>
  <si>
    <t xml:space="preserve">ORD-1092</t>
  </si>
  <si>
    <t xml:space="preserve">ORD-1093</t>
  </si>
  <si>
    <t xml:space="preserve">ORD-1094</t>
  </si>
  <si>
    <t xml:space="preserve">ORD-1095</t>
  </si>
  <si>
    <t xml:space="preserve">ORD-1096</t>
  </si>
  <si>
    <t xml:space="preserve">ORD-1097</t>
  </si>
  <si>
    <t xml:space="preserve">ORD-1098</t>
  </si>
  <si>
    <t xml:space="preserve">ORD-1099</t>
  </si>
  <si>
    <t xml:space="preserve">ORD-1100</t>
  </si>
  <si>
    <t xml:space="preserve">ORD-1101</t>
  </si>
  <si>
    <t xml:space="preserve">ORD-1102</t>
  </si>
  <si>
    <t xml:space="preserve">ORD-1103</t>
  </si>
  <si>
    <t xml:space="preserve">ORD-1104</t>
  </si>
  <si>
    <t xml:space="preserve">ORD-1105</t>
  </si>
  <si>
    <t xml:space="preserve">ORD-1106</t>
  </si>
  <si>
    <t xml:space="preserve">ORD-1107</t>
  </si>
  <si>
    <t xml:space="preserve">ORD-1108</t>
  </si>
  <si>
    <t xml:space="preserve">ORD-1109</t>
  </si>
  <si>
    <t xml:space="preserve">ORD-1110</t>
  </si>
  <si>
    <t xml:space="preserve">ORD-1111</t>
  </si>
  <si>
    <t xml:space="preserve">ORD-1112</t>
  </si>
  <si>
    <t xml:space="preserve">ORD-1113</t>
  </si>
  <si>
    <t xml:space="preserve">ORD-1114</t>
  </si>
  <si>
    <t xml:space="preserve">ORD-1115</t>
  </si>
  <si>
    <t xml:space="preserve">ORD-1116</t>
  </si>
  <si>
    <t xml:space="preserve">ORD-1117</t>
  </si>
  <si>
    <t xml:space="preserve">ORD-1118</t>
  </si>
  <si>
    <t xml:space="preserve">ORD-1119</t>
  </si>
  <si>
    <t xml:space="preserve">ORD-1120</t>
  </si>
  <si>
    <t xml:space="preserve">ORD-1121</t>
  </si>
  <si>
    <t xml:space="preserve">ORD-1122</t>
  </si>
  <si>
    <t xml:space="preserve">ORD-1123</t>
  </si>
  <si>
    <t xml:space="preserve">ORD-1124</t>
  </si>
  <si>
    <t xml:space="preserve">ORD-1125</t>
  </si>
  <si>
    <t xml:space="preserve">ORD-1126</t>
  </si>
  <si>
    <t xml:space="preserve">ORD-1127</t>
  </si>
  <si>
    <t xml:space="preserve">ORD-1128</t>
  </si>
  <si>
    <t xml:space="preserve">ORD-1129</t>
  </si>
  <si>
    <t xml:space="preserve">ORD-1130</t>
  </si>
  <si>
    <t xml:space="preserve">ORD-1131</t>
  </si>
  <si>
    <t xml:space="preserve">ORD-1132</t>
  </si>
  <si>
    <t xml:space="preserve">ORD-1133</t>
  </si>
  <si>
    <t xml:space="preserve">ORD-1134</t>
  </si>
  <si>
    <t xml:space="preserve">ORD-1135</t>
  </si>
  <si>
    <t xml:space="preserve">ORD-1136</t>
  </si>
  <si>
    <t xml:space="preserve">ORD-1137</t>
  </si>
  <si>
    <t xml:space="preserve">ORD-1138</t>
  </si>
  <si>
    <t xml:space="preserve">ORD-1139</t>
  </si>
  <si>
    <t xml:space="preserve">ORD-1140</t>
  </si>
  <si>
    <t xml:space="preserve">ORD-1141</t>
  </si>
  <si>
    <t xml:space="preserve">ORD-1142</t>
  </si>
  <si>
    <t xml:space="preserve">ORD-1143</t>
  </si>
  <si>
    <t xml:space="preserve">ORD-1144</t>
  </si>
  <si>
    <t xml:space="preserve">ORD-1145</t>
  </si>
  <si>
    <t xml:space="preserve">ORD-1146</t>
  </si>
  <si>
    <t xml:space="preserve">ORD-1147</t>
  </si>
  <si>
    <t xml:space="preserve">ORD-1148</t>
  </si>
  <si>
    <t xml:space="preserve">ORD-1149</t>
  </si>
  <si>
    <t xml:space="preserve">ORD-1150</t>
  </si>
  <si>
    <t xml:space="preserve">ORD-1151</t>
  </si>
  <si>
    <t xml:space="preserve">ORD-1152</t>
  </si>
  <si>
    <t xml:space="preserve">ORD-1153</t>
  </si>
  <si>
    <t xml:space="preserve">ORD-1154</t>
  </si>
  <si>
    <t xml:space="preserve">ORD-1155</t>
  </si>
  <si>
    <t xml:space="preserve">ORD-1156</t>
  </si>
  <si>
    <t xml:space="preserve">ORD-1157</t>
  </si>
  <si>
    <t xml:space="preserve">ORD-1158</t>
  </si>
  <si>
    <t xml:space="preserve">ORD-1159</t>
  </si>
  <si>
    <t xml:space="preserve">ORD-1160</t>
  </si>
  <si>
    <t xml:space="preserve">ORD-1161</t>
  </si>
  <si>
    <t xml:space="preserve">ORD-1162</t>
  </si>
  <si>
    <t xml:space="preserve">ORD-1163</t>
  </si>
  <si>
    <t xml:space="preserve">ORD-1164</t>
  </si>
  <si>
    <t xml:space="preserve">ORD-1165</t>
  </si>
  <si>
    <t xml:space="preserve">ORD-1166</t>
  </si>
  <si>
    <t xml:space="preserve">ORD-1167</t>
  </si>
  <si>
    <t xml:space="preserve">ORD-1168</t>
  </si>
  <si>
    <t xml:space="preserve">ORD-1169</t>
  </si>
  <si>
    <t xml:space="preserve">ORD-1170</t>
  </si>
  <si>
    <t xml:space="preserve">ORD-1171</t>
  </si>
  <si>
    <t xml:space="preserve">ORD-1172</t>
  </si>
  <si>
    <t xml:space="preserve">ORD-1173</t>
  </si>
  <si>
    <t xml:space="preserve">ORD-1174</t>
  </si>
  <si>
    <t xml:space="preserve">ORD-1175</t>
  </si>
  <si>
    <t xml:space="preserve">ORD-1176</t>
  </si>
  <si>
    <t xml:space="preserve">ORD-1177</t>
  </si>
  <si>
    <t xml:space="preserve">ORD-1178</t>
  </si>
  <si>
    <t xml:space="preserve">ORD-1179</t>
  </si>
  <si>
    <t xml:space="preserve">ORD-1180</t>
  </si>
  <si>
    <t xml:space="preserve">ORD-1181</t>
  </si>
  <si>
    <t xml:space="preserve">ORD-1182</t>
  </si>
  <si>
    <t xml:space="preserve">ORD-1183</t>
  </si>
  <si>
    <t xml:space="preserve">ORD-1184</t>
  </si>
  <si>
    <t xml:space="preserve">ORD-1185</t>
  </si>
  <si>
    <t xml:space="preserve">ORD-1186</t>
  </si>
  <si>
    <t xml:space="preserve">ORD-1187</t>
  </si>
  <si>
    <t xml:space="preserve">Customer 24</t>
  </si>
  <si>
    <t xml:space="preserve">ORD-1188</t>
  </si>
  <si>
    <t xml:space="preserve">ORD-1189</t>
  </si>
  <si>
    <t xml:space="preserve">ORD-1190</t>
  </si>
  <si>
    <t xml:space="preserve">ORD-1191</t>
  </si>
  <si>
    <t xml:space="preserve">ORD-1192</t>
  </si>
  <si>
    <t xml:space="preserve">ORD-1193</t>
  </si>
  <si>
    <t xml:space="preserve">ORD-1194</t>
  </si>
  <si>
    <t xml:space="preserve">ORD-1195</t>
  </si>
  <si>
    <t xml:space="preserve">ORD-1196</t>
  </si>
  <si>
    <t xml:space="preserve">ORD-1197</t>
  </si>
  <si>
    <t xml:space="preserve">ORD-1198</t>
  </si>
  <si>
    <t xml:space="preserve">ORD-1199</t>
  </si>
  <si>
    <t xml:space="preserve">ORD-1200</t>
  </si>
</sst>
</file>

<file path=xl/styles.xml><?xml version="1.0" encoding="utf-8"?>
<styleSheet xmlns="http://schemas.openxmlformats.org/spreadsheetml/2006/main">
  <numFmts count="5">
    <numFmt numFmtId="164" formatCode="General"/>
    <numFmt numFmtId="165" formatCode="#,##0.00"/>
    <numFmt numFmtId="166" formatCode="#,##0"/>
    <numFmt numFmtId="167" formatCode="General"/>
    <numFmt numFmtId="168" formatCode="yyyy\-mm\-dd"/>
  </numFmts>
  <fonts count="11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8"/>
      <color rgb="FF0B1F5C"/>
      <name val="Arial"/>
      <family val="0"/>
      <charset val="1"/>
    </font>
    <font>
      <i val="true"/>
      <sz val="9"/>
      <color rgb="FF666666"/>
      <name val="Arial"/>
      <family val="0"/>
      <charset val="1"/>
    </font>
    <font>
      <b val="true"/>
      <sz val="11"/>
      <color rgb="FFF97316"/>
      <name val="Arial"/>
      <family val="0"/>
      <charset val="1"/>
    </font>
    <font>
      <b val="true"/>
      <sz val="11"/>
      <name val="Arial"/>
      <family val="0"/>
      <charset val="1"/>
    </font>
    <font>
      <b val="true"/>
      <sz val="12"/>
      <color rgb="FF0B1F5C"/>
      <name val="Arial"/>
      <family val="0"/>
      <charset val="1"/>
    </font>
    <font>
      <sz val="11"/>
      <name val="Arial"/>
      <family val="0"/>
      <charset val="1"/>
    </font>
    <font>
      <b val="true"/>
      <sz val="11"/>
      <color rgb="FFFFFFFF"/>
      <name val="Arial"/>
      <family val="0"/>
      <charset val="1"/>
    </font>
  </fonts>
  <fills count="4">
    <fill>
      <patternFill patternType="none"/>
    </fill>
    <fill>
      <patternFill patternType="gray125"/>
    </fill>
    <fill>
      <patternFill patternType="solid">
        <fgColor rgb="FFE8EEFB"/>
        <bgColor rgb="FFFFFFFF"/>
      </patternFill>
    </fill>
    <fill>
      <patternFill patternType="solid">
        <fgColor rgb="FF0B1F5C"/>
        <bgColor rgb="FF000080"/>
      </patternFill>
    </fill>
  </fills>
  <borders count="2">
    <border diagonalUp="false" diagonalDown="false">
      <left/>
      <right/>
      <top/>
      <bottom/>
      <diagonal/>
    </border>
    <border diagonalUp="false" diagonalDown="false">
      <left/>
      <right/>
      <top/>
      <bottom style="thin">
        <color rgb="FFD0D5E0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19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7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8" fillId="2" borderId="1" xfId="0" applyFont="true" applyBorder="true" applyAlignment="true" applyProtection="false">
      <alignment horizontal="right" vertical="bottom" textRotation="0" wrapText="false" indent="0" shrinkToFit="false"/>
      <protection locked="true" hidden="false"/>
    </xf>
    <xf numFmtId="166" fontId="8" fillId="2" borderId="1" xfId="0" applyFont="true" applyBorder="true" applyAlignment="true" applyProtection="false">
      <alignment horizontal="right" vertical="bottom" textRotation="0" wrapText="false" indent="0" shrinkToFit="false"/>
      <protection locked="true" hidden="false"/>
    </xf>
    <xf numFmtId="164" fontId="9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9" fillId="0" borderId="0" xfId="0" applyFont="true" applyBorder="false" applyAlignment="true" applyProtection="false">
      <alignment horizontal="right" vertical="bottom" textRotation="0" wrapText="false" indent="0" shrinkToFit="false"/>
      <protection locked="true" hidden="false"/>
    </xf>
    <xf numFmtId="167" fontId="9" fillId="0" borderId="0" xfId="0" applyFont="true" applyBorder="false" applyAlignment="true" applyProtection="false">
      <alignment horizontal="right" vertical="bottom" textRotation="0" wrapText="false" indent="0" shrinkToFit="false"/>
      <protection locked="true" hidden="false"/>
    </xf>
    <xf numFmtId="164" fontId="10" fillId="3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4" fontId="9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9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6" fontId="9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7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7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6" fontId="7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0" fillId="3" borderId="0" xfId="0" applyFont="true" applyBorder="false" applyAlignment="true" applyProtection="false">
      <alignment horizontal="center" vertical="center" textRotation="0" wrapText="false" indent="0" shrinkToFit="false"/>
      <protection locked="true" hidden="false"/>
    </xf>
    <xf numFmtId="168" fontId="9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dxfs count="3">
    <dxf>
      <fill>
        <patternFill patternType="solid">
          <fgColor rgb="FF0B1F5C"/>
          <bgColor rgb="FF000000"/>
        </patternFill>
      </fill>
    </dxf>
    <dxf>
      <fill>
        <patternFill patternType="solid">
          <bgColor rgb="FF000000"/>
        </patternFill>
      </fill>
    </dxf>
    <dxf>
      <fill>
        <patternFill patternType="solid">
          <fgColor rgb="FFFFFFFF"/>
          <bgColor rgb="FF000000"/>
        </patternFill>
      </fill>
    </dxf>
  </dxf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FCC"/>
      <rgbColor rgb="FFE8EEFB"/>
      <rgbColor rgb="FF660066"/>
      <rgbColor rgb="FFFF8080"/>
      <rgbColor rgb="FF0066CC"/>
      <rgbColor rgb="FFD0D5E0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97316"/>
      <rgbColor rgb="FF666666"/>
      <rgbColor rgb="FF969696"/>
      <rgbColor rgb="FF0B1F5C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sharedStrings" Target="sharedStrings.xml"/>
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_rels/sheet2.xml.rels><?xml version="1.0" encoding="UTF-8"?>
<Relationships xmlns="http://schemas.openxmlformats.org/package/2006/relationships"><Relationship Id="rId1" Type="http://schemas.openxmlformats.org/officeDocument/2006/relationships/drawing" Target="../drawings/drawing1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B2:E32"/>
  <sheetViews>
    <sheetView showFormulas="false" showGridLines="fals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3"/>
    <col collapsed="false" customWidth="true" hidden="false" outlineLevel="0" max="2" min="2" style="0" width="38"/>
    <col collapsed="false" customWidth="true" hidden="false" outlineLevel="0" max="5" min="3" style="0" width="18"/>
  </cols>
  <sheetData>
    <row r="2" customFormat="false" ht="22.05" hidden="false" customHeight="false" outlineLevel="0" collapsed="false">
      <c r="B2" s="1" t="s">
        <v>0</v>
      </c>
    </row>
    <row r="3" customFormat="false" ht="15" hidden="false" customHeight="false" outlineLevel="0" collapsed="false">
      <c r="B3" s="2" t="s">
        <v>1</v>
      </c>
    </row>
    <row r="5" customFormat="false" ht="15" hidden="false" customHeight="false" outlineLevel="0" collapsed="false">
      <c r="B5" s="3" t="s">
        <v>2</v>
      </c>
    </row>
    <row r="6" customFormat="false" ht="15" hidden="false" customHeight="false" outlineLevel="0" collapsed="false">
      <c r="B6" s="4" t="s">
        <v>3</v>
      </c>
      <c r="C6" s="5" t="n">
        <f aca="false">SUM('Sales Data'!$I$2:$I$201)</f>
        <v>93328</v>
      </c>
    </row>
    <row r="7" customFormat="false" ht="15" hidden="false" customHeight="false" outlineLevel="0" collapsed="false">
      <c r="B7" s="4" t="s">
        <v>4</v>
      </c>
      <c r="C7" s="5" t="n">
        <f aca="false">AVERAGE('Sales Data'!$I$2:$I$201)</f>
        <v>466.64</v>
      </c>
    </row>
    <row r="8" customFormat="false" ht="15" hidden="false" customHeight="false" outlineLevel="0" collapsed="false">
      <c r="B8" s="4" t="s">
        <v>5</v>
      </c>
      <c r="C8" s="6" t="n">
        <f aca="false">COUNTA('Sales Data'!$A$2:$A$201)</f>
        <v>200</v>
      </c>
    </row>
    <row r="10" customFormat="false" ht="15" hidden="false" customHeight="false" outlineLevel="0" collapsed="false">
      <c r="B10" s="3" t="s">
        <v>6</v>
      </c>
    </row>
    <row r="11" customFormat="false" ht="15" hidden="false" customHeight="false" outlineLevel="0" collapsed="false">
      <c r="B11" s="7" t="s">
        <v>7</v>
      </c>
      <c r="C11" s="8" t="n">
        <f aca="false">C6/C8</f>
        <v>466.64</v>
      </c>
    </row>
    <row r="12" customFormat="false" ht="15" hidden="false" customHeight="false" outlineLevel="0" collapsed="false">
      <c r="B12" s="7" t="s">
        <v>8</v>
      </c>
      <c r="C12" s="9" t="n">
        <f aca="false">ROUND(C11-C7,6)</f>
        <v>0</v>
      </c>
    </row>
    <row r="13" customFormat="false" ht="15" hidden="false" customHeight="false" outlineLevel="0" collapsed="false">
      <c r="B13" s="7" t="s">
        <v>9</v>
      </c>
      <c r="C13" s="9" t="str">
        <f aca="false">IF(C12=0,"OK","MISMATCH")</f>
        <v>OK</v>
      </c>
    </row>
    <row r="16" customFormat="false" ht="15" hidden="false" customHeight="false" outlineLevel="0" collapsed="false">
      <c r="B16" s="3" t="s">
        <v>10</v>
      </c>
    </row>
    <row r="17" customFormat="false" ht="15" hidden="false" customHeight="false" outlineLevel="0" collapsed="false">
      <c r="B17" s="10" t="s">
        <v>11</v>
      </c>
      <c r="C17" s="10" t="s">
        <v>12</v>
      </c>
      <c r="D17" s="10" t="s">
        <v>13</v>
      </c>
      <c r="E17" s="10" t="s">
        <v>14</v>
      </c>
    </row>
    <row r="18" customFormat="false" ht="15" hidden="false" customHeight="false" outlineLevel="0" collapsed="false">
      <c r="B18" s="11" t="s">
        <v>15</v>
      </c>
      <c r="C18" s="12" t="n">
        <f aca="false">SUMIFS('Sales Data'!$I$2:$I$201,'Sales Data'!$D$2:$D$201,B18)</f>
        <v>30653</v>
      </c>
      <c r="D18" s="12" t="n">
        <f aca="false">IFERROR(AVERAGEIFS('Sales Data'!$I$2:$I$201,'Sales Data'!$D$2:$D$201,B18),0)</f>
        <v>478.953125</v>
      </c>
      <c r="E18" s="13" t="n">
        <f aca="false">COUNTIFS('Sales Data'!$D$2:$D$201,B18)</f>
        <v>64</v>
      </c>
    </row>
    <row r="19" customFormat="false" ht="15" hidden="false" customHeight="false" outlineLevel="0" collapsed="false">
      <c r="B19" s="11" t="s">
        <v>16</v>
      </c>
      <c r="C19" s="12" t="n">
        <f aca="false">SUMIFS('Sales Data'!$I$2:$I$201,'Sales Data'!$D$2:$D$201,B19)</f>
        <v>17392</v>
      </c>
      <c r="D19" s="12" t="n">
        <f aca="false">IFERROR(AVERAGEIFS('Sales Data'!$I$2:$I$201,'Sales Data'!$D$2:$D$201,B19),0)</f>
        <v>370.042553191489</v>
      </c>
      <c r="E19" s="13" t="n">
        <f aca="false">COUNTIFS('Sales Data'!$D$2:$D$201,B19)</f>
        <v>47</v>
      </c>
    </row>
    <row r="20" customFormat="false" ht="15" hidden="false" customHeight="false" outlineLevel="0" collapsed="false">
      <c r="B20" s="11" t="s">
        <v>17</v>
      </c>
      <c r="C20" s="12" t="n">
        <f aca="false">SUMIFS('Sales Data'!$I$2:$I$201,'Sales Data'!$D$2:$D$201,B20)</f>
        <v>26545</v>
      </c>
      <c r="D20" s="12" t="n">
        <f aca="false">IFERROR(AVERAGEIFS('Sales Data'!$I$2:$I$201,'Sales Data'!$D$2:$D$201,B20),0)</f>
        <v>520.490196078431</v>
      </c>
      <c r="E20" s="13" t="n">
        <f aca="false">COUNTIFS('Sales Data'!$D$2:$D$201,B20)</f>
        <v>51</v>
      </c>
    </row>
    <row r="21" customFormat="false" ht="15" hidden="false" customHeight="false" outlineLevel="0" collapsed="false">
      <c r="B21" s="11" t="s">
        <v>18</v>
      </c>
      <c r="C21" s="12" t="n">
        <f aca="false">SUMIFS('Sales Data'!$I$2:$I$201,'Sales Data'!$D$2:$D$201,B21)</f>
        <v>18738</v>
      </c>
      <c r="D21" s="12" t="n">
        <f aca="false">IFERROR(AVERAGEIFS('Sales Data'!$I$2:$I$201,'Sales Data'!$D$2:$D$201,B21),0)</f>
        <v>493.105263157895</v>
      </c>
      <c r="E21" s="13" t="n">
        <f aca="false">COUNTIFS('Sales Data'!$D$2:$D$201,B21)</f>
        <v>38</v>
      </c>
    </row>
    <row r="22" customFormat="false" ht="15" hidden="false" customHeight="false" outlineLevel="0" collapsed="false">
      <c r="B22" s="14" t="s">
        <v>19</v>
      </c>
      <c r="C22" s="15" t="n">
        <f aca="false">SUM(C18:C21)</f>
        <v>93328</v>
      </c>
      <c r="D22" s="15" t="n">
        <f aca="false">C22/E22</f>
        <v>466.64</v>
      </c>
      <c r="E22" s="16" t="n">
        <f aca="false">SUM(E18:E21)</f>
        <v>200</v>
      </c>
    </row>
    <row r="25" customFormat="false" ht="15" hidden="false" customHeight="false" outlineLevel="0" collapsed="false">
      <c r="B25" s="3" t="s">
        <v>20</v>
      </c>
    </row>
    <row r="26" customFormat="false" ht="15" hidden="false" customHeight="false" outlineLevel="0" collapsed="false">
      <c r="B26" s="10" t="s">
        <v>21</v>
      </c>
      <c r="C26" s="10" t="s">
        <v>12</v>
      </c>
      <c r="D26" s="10" t="s">
        <v>13</v>
      </c>
      <c r="E26" s="10" t="s">
        <v>14</v>
      </c>
    </row>
    <row r="27" customFormat="false" ht="15" hidden="false" customHeight="false" outlineLevel="0" collapsed="false">
      <c r="B27" s="11" t="s">
        <v>22</v>
      </c>
      <c r="C27" s="12" t="n">
        <f aca="false">SUMIFS('Sales Data'!$I$2:$I$201,'Sales Data'!$E$2:$E$201,B27)</f>
        <v>35425</v>
      </c>
      <c r="D27" s="12" t="n">
        <f aca="false">IFERROR(AVERAGEIFS('Sales Data'!$I$2:$I$201,'Sales Data'!$E$2:$E$201,B27),0)</f>
        <v>498.943661971831</v>
      </c>
      <c r="E27" s="13" t="n">
        <f aca="false">COUNTIFS('Sales Data'!$E$2:$E$201,B27)</f>
        <v>71</v>
      </c>
    </row>
    <row r="28" customFormat="false" ht="15" hidden="false" customHeight="false" outlineLevel="0" collapsed="false">
      <c r="B28" s="11" t="s">
        <v>23</v>
      </c>
      <c r="C28" s="12" t="n">
        <f aca="false">SUMIFS('Sales Data'!$I$2:$I$201,'Sales Data'!$E$2:$E$201,B28)</f>
        <v>54745</v>
      </c>
      <c r="D28" s="12" t="n">
        <f aca="false">IFERROR(AVERAGEIFS('Sales Data'!$I$2:$I$201,'Sales Data'!$E$2:$E$201,B28),0)</f>
        <v>882.983870967742</v>
      </c>
      <c r="E28" s="13" t="n">
        <f aca="false">COUNTIFS('Sales Data'!$E$2:$E$201,B28)</f>
        <v>62</v>
      </c>
    </row>
    <row r="29" customFormat="false" ht="15" hidden="false" customHeight="false" outlineLevel="0" collapsed="false">
      <c r="B29" s="11" t="s">
        <v>24</v>
      </c>
      <c r="C29" s="12" t="n">
        <f aca="false">SUMIFS('Sales Data'!$I$2:$I$201,'Sales Data'!$E$2:$E$201,B29)</f>
        <v>3158</v>
      </c>
      <c r="D29" s="12" t="n">
        <f aca="false">IFERROR(AVERAGEIFS('Sales Data'!$I$2:$I$201,'Sales Data'!$E$2:$E$201,B29),0)</f>
        <v>47.134328358209</v>
      </c>
      <c r="E29" s="13" t="n">
        <f aca="false">COUNTIFS('Sales Data'!$E$2:$E$201,B29)</f>
        <v>67</v>
      </c>
    </row>
    <row r="32" customFormat="false" ht="15" hidden="false" customHeight="false" outlineLevel="0" collapsed="false">
      <c r="B32" s="2" t="s">
        <v>25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I201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2" min="1" style="0" width="12"/>
    <col collapsed="false" customWidth="true" hidden="false" outlineLevel="0" max="3" min="3" style="0" width="14"/>
    <col collapsed="false" customWidth="true" hidden="false" outlineLevel="0" max="4" min="4" style="0" width="10"/>
    <col collapsed="false" customWidth="true" hidden="false" outlineLevel="0" max="5" min="5" style="0" width="17"/>
    <col collapsed="false" customWidth="true" hidden="false" outlineLevel="0" max="6" min="6" style="0" width="18"/>
    <col collapsed="false" customWidth="true" hidden="false" outlineLevel="0" max="7" min="7" style="0" width="10"/>
    <col collapsed="false" customWidth="true" hidden="false" outlineLevel="0" max="9" min="8" style="0" width="12"/>
  </cols>
  <sheetData>
    <row r="1" customFormat="false" ht="15" hidden="false" customHeight="false" outlineLevel="0" collapsed="false">
      <c r="A1" s="17" t="s">
        <v>26</v>
      </c>
      <c r="B1" s="17" t="s">
        <v>27</v>
      </c>
      <c r="C1" s="17" t="s">
        <v>28</v>
      </c>
      <c r="D1" s="17" t="s">
        <v>11</v>
      </c>
      <c r="E1" s="17" t="s">
        <v>21</v>
      </c>
      <c r="F1" s="17" t="s">
        <v>29</v>
      </c>
      <c r="G1" s="17" t="s">
        <v>30</v>
      </c>
      <c r="H1" s="17" t="s">
        <v>31</v>
      </c>
      <c r="I1" s="17" t="s">
        <v>32</v>
      </c>
    </row>
    <row r="2" customFormat="false" ht="15" hidden="false" customHeight="false" outlineLevel="0" collapsed="false">
      <c r="A2" s="11" t="s">
        <v>33</v>
      </c>
      <c r="B2" s="18" t="n">
        <v>46149</v>
      </c>
      <c r="C2" s="11" t="s">
        <v>34</v>
      </c>
      <c r="D2" s="11" t="s">
        <v>17</v>
      </c>
      <c r="E2" s="11" t="s">
        <v>22</v>
      </c>
      <c r="F2" s="11" t="s">
        <v>35</v>
      </c>
      <c r="G2" s="11" t="n">
        <v>9</v>
      </c>
      <c r="H2" s="12" t="n">
        <v>220</v>
      </c>
      <c r="I2" s="12" t="n">
        <f aca="false">G2*H2</f>
        <v>1980</v>
      </c>
    </row>
    <row r="3" customFormat="false" ht="15" hidden="false" customHeight="false" outlineLevel="0" collapsed="false">
      <c r="A3" s="11" t="s">
        <v>36</v>
      </c>
      <c r="B3" s="18" t="n">
        <v>46178</v>
      </c>
      <c r="C3" s="11" t="s">
        <v>37</v>
      </c>
      <c r="D3" s="11" t="s">
        <v>18</v>
      </c>
      <c r="E3" s="11" t="s">
        <v>23</v>
      </c>
      <c r="F3" s="11" t="s">
        <v>38</v>
      </c>
      <c r="G3" s="11" t="n">
        <v>8</v>
      </c>
      <c r="H3" s="12" t="n">
        <v>150</v>
      </c>
      <c r="I3" s="12" t="n">
        <f aca="false">G3*H3</f>
        <v>1200</v>
      </c>
    </row>
    <row r="4" customFormat="false" ht="15" hidden="false" customHeight="false" outlineLevel="0" collapsed="false">
      <c r="A4" s="11" t="s">
        <v>39</v>
      </c>
      <c r="B4" s="18" t="n">
        <v>46137</v>
      </c>
      <c r="C4" s="11" t="s">
        <v>40</v>
      </c>
      <c r="D4" s="11" t="s">
        <v>17</v>
      </c>
      <c r="E4" s="11" t="s">
        <v>23</v>
      </c>
      <c r="F4" s="11" t="s">
        <v>38</v>
      </c>
      <c r="G4" s="11" t="n">
        <v>5</v>
      </c>
      <c r="H4" s="12" t="n">
        <v>150</v>
      </c>
      <c r="I4" s="12" t="n">
        <f aca="false">G4*H4</f>
        <v>750</v>
      </c>
    </row>
    <row r="5" customFormat="false" ht="15" hidden="false" customHeight="false" outlineLevel="0" collapsed="false">
      <c r="A5" s="11" t="s">
        <v>41</v>
      </c>
      <c r="B5" s="18" t="n">
        <v>46287</v>
      </c>
      <c r="C5" s="11" t="s">
        <v>42</v>
      </c>
      <c r="D5" s="11" t="s">
        <v>16</v>
      </c>
      <c r="E5" s="11" t="s">
        <v>23</v>
      </c>
      <c r="F5" s="11" t="s">
        <v>43</v>
      </c>
      <c r="G5" s="11" t="n">
        <v>6</v>
      </c>
      <c r="H5" s="12" t="n">
        <v>120</v>
      </c>
      <c r="I5" s="12" t="n">
        <f aca="false">G5*H5</f>
        <v>720</v>
      </c>
    </row>
    <row r="6" customFormat="false" ht="15" hidden="false" customHeight="false" outlineLevel="0" collapsed="false">
      <c r="A6" s="11" t="s">
        <v>44</v>
      </c>
      <c r="B6" s="18" t="n">
        <v>46028</v>
      </c>
      <c r="C6" s="11" t="s">
        <v>45</v>
      </c>
      <c r="D6" s="11" t="s">
        <v>15</v>
      </c>
      <c r="E6" s="11" t="s">
        <v>24</v>
      </c>
      <c r="F6" s="11" t="s">
        <v>46</v>
      </c>
      <c r="G6" s="11" t="n">
        <v>3</v>
      </c>
      <c r="H6" s="12" t="n">
        <v>15</v>
      </c>
      <c r="I6" s="12" t="n">
        <f aca="false">G6*H6</f>
        <v>45</v>
      </c>
    </row>
    <row r="7" customFormat="false" ht="15" hidden="false" customHeight="false" outlineLevel="0" collapsed="false">
      <c r="A7" s="11" t="s">
        <v>47</v>
      </c>
      <c r="B7" s="18" t="n">
        <v>46037</v>
      </c>
      <c r="C7" s="11" t="s">
        <v>48</v>
      </c>
      <c r="D7" s="11" t="s">
        <v>17</v>
      </c>
      <c r="E7" s="11" t="s">
        <v>22</v>
      </c>
      <c r="F7" s="11" t="s">
        <v>35</v>
      </c>
      <c r="G7" s="11" t="n">
        <v>6</v>
      </c>
      <c r="H7" s="12" t="n">
        <v>220</v>
      </c>
      <c r="I7" s="12" t="n">
        <f aca="false">G7*H7</f>
        <v>1320</v>
      </c>
    </row>
    <row r="8" customFormat="false" ht="15" hidden="false" customHeight="false" outlineLevel="0" collapsed="false">
      <c r="A8" s="11" t="s">
        <v>49</v>
      </c>
      <c r="B8" s="18" t="n">
        <v>46247</v>
      </c>
      <c r="C8" s="11" t="s">
        <v>50</v>
      </c>
      <c r="D8" s="11" t="s">
        <v>15</v>
      </c>
      <c r="E8" s="11" t="s">
        <v>22</v>
      </c>
      <c r="F8" s="11" t="s">
        <v>51</v>
      </c>
      <c r="G8" s="11" t="n">
        <v>7</v>
      </c>
      <c r="H8" s="12" t="n">
        <v>30</v>
      </c>
      <c r="I8" s="12" t="n">
        <f aca="false">G8*H8</f>
        <v>210</v>
      </c>
    </row>
    <row r="9" customFormat="false" ht="15" hidden="false" customHeight="false" outlineLevel="0" collapsed="false">
      <c r="A9" s="11" t="s">
        <v>52</v>
      </c>
      <c r="B9" s="18" t="n">
        <v>46209</v>
      </c>
      <c r="C9" s="11" t="s">
        <v>53</v>
      </c>
      <c r="D9" s="11" t="s">
        <v>15</v>
      </c>
      <c r="E9" s="11" t="s">
        <v>24</v>
      </c>
      <c r="F9" s="11" t="s">
        <v>54</v>
      </c>
      <c r="G9" s="11" t="n">
        <v>10</v>
      </c>
      <c r="H9" s="12" t="n">
        <v>12</v>
      </c>
      <c r="I9" s="12" t="n">
        <f aca="false">G9*H9</f>
        <v>120</v>
      </c>
    </row>
    <row r="10" customFormat="false" ht="15" hidden="false" customHeight="false" outlineLevel="0" collapsed="false">
      <c r="A10" s="11" t="s">
        <v>55</v>
      </c>
      <c r="B10" s="18" t="n">
        <v>46122</v>
      </c>
      <c r="C10" s="11" t="s">
        <v>34</v>
      </c>
      <c r="D10" s="11" t="s">
        <v>18</v>
      </c>
      <c r="E10" s="11" t="s">
        <v>24</v>
      </c>
      <c r="F10" s="11" t="s">
        <v>56</v>
      </c>
      <c r="G10" s="11" t="n">
        <v>9</v>
      </c>
      <c r="H10" s="12" t="n">
        <v>7</v>
      </c>
      <c r="I10" s="12" t="n">
        <f aca="false">G10*H10</f>
        <v>63</v>
      </c>
    </row>
    <row r="11" customFormat="false" ht="15" hidden="false" customHeight="false" outlineLevel="0" collapsed="false">
      <c r="A11" s="11" t="s">
        <v>57</v>
      </c>
      <c r="B11" s="18" t="n">
        <v>46167</v>
      </c>
      <c r="C11" s="11" t="s">
        <v>58</v>
      </c>
      <c r="D11" s="11" t="s">
        <v>17</v>
      </c>
      <c r="E11" s="11" t="s">
        <v>24</v>
      </c>
      <c r="F11" s="11" t="s">
        <v>59</v>
      </c>
      <c r="G11" s="11" t="n">
        <v>8</v>
      </c>
      <c r="H11" s="12" t="n">
        <v>9</v>
      </c>
      <c r="I11" s="12" t="n">
        <f aca="false">G11*H11</f>
        <v>72</v>
      </c>
    </row>
    <row r="12" customFormat="false" ht="15" hidden="false" customHeight="false" outlineLevel="0" collapsed="false">
      <c r="A12" s="11" t="s">
        <v>60</v>
      </c>
      <c r="B12" s="18" t="n">
        <v>46165</v>
      </c>
      <c r="C12" s="11" t="s">
        <v>34</v>
      </c>
      <c r="D12" s="11" t="s">
        <v>15</v>
      </c>
      <c r="E12" s="11" t="s">
        <v>22</v>
      </c>
      <c r="F12" s="11" t="s">
        <v>61</v>
      </c>
      <c r="G12" s="11" t="n">
        <v>2</v>
      </c>
      <c r="H12" s="12" t="n">
        <v>25</v>
      </c>
      <c r="I12" s="12" t="n">
        <f aca="false">G12*H12</f>
        <v>50</v>
      </c>
    </row>
    <row r="13" customFormat="false" ht="15" hidden="false" customHeight="false" outlineLevel="0" collapsed="false">
      <c r="A13" s="11" t="s">
        <v>62</v>
      </c>
      <c r="B13" s="18" t="n">
        <v>46081</v>
      </c>
      <c r="C13" s="11" t="s">
        <v>63</v>
      </c>
      <c r="D13" s="11" t="s">
        <v>15</v>
      </c>
      <c r="E13" s="11" t="s">
        <v>22</v>
      </c>
      <c r="F13" s="11" t="s">
        <v>64</v>
      </c>
      <c r="G13" s="11" t="n">
        <v>7</v>
      </c>
      <c r="H13" s="12" t="n">
        <v>45</v>
      </c>
      <c r="I13" s="12" t="n">
        <f aca="false">G13*H13</f>
        <v>315</v>
      </c>
    </row>
    <row r="14" customFormat="false" ht="15" hidden="false" customHeight="false" outlineLevel="0" collapsed="false">
      <c r="A14" s="11" t="s">
        <v>65</v>
      </c>
      <c r="B14" s="18" t="n">
        <v>46220</v>
      </c>
      <c r="C14" s="11" t="s">
        <v>37</v>
      </c>
      <c r="D14" s="11" t="s">
        <v>17</v>
      </c>
      <c r="E14" s="11" t="s">
        <v>23</v>
      </c>
      <c r="F14" s="11" t="s">
        <v>66</v>
      </c>
      <c r="G14" s="11" t="n">
        <v>3</v>
      </c>
      <c r="H14" s="12" t="n">
        <v>340</v>
      </c>
      <c r="I14" s="12" t="n">
        <f aca="false">G14*H14</f>
        <v>1020</v>
      </c>
    </row>
    <row r="15" customFormat="false" ht="15" hidden="false" customHeight="false" outlineLevel="0" collapsed="false">
      <c r="A15" s="11" t="s">
        <v>67</v>
      </c>
      <c r="B15" s="18" t="n">
        <v>46236</v>
      </c>
      <c r="C15" s="11" t="s">
        <v>68</v>
      </c>
      <c r="D15" s="11" t="s">
        <v>15</v>
      </c>
      <c r="E15" s="11" t="s">
        <v>23</v>
      </c>
      <c r="F15" s="11" t="s">
        <v>66</v>
      </c>
      <c r="G15" s="11" t="n">
        <v>7</v>
      </c>
      <c r="H15" s="12" t="n">
        <v>340</v>
      </c>
      <c r="I15" s="12" t="n">
        <f aca="false">G15*H15</f>
        <v>2380</v>
      </c>
    </row>
    <row r="16" customFormat="false" ht="15" hidden="false" customHeight="false" outlineLevel="0" collapsed="false">
      <c r="A16" s="11" t="s">
        <v>69</v>
      </c>
      <c r="B16" s="18" t="n">
        <v>46143</v>
      </c>
      <c r="C16" s="11" t="s">
        <v>37</v>
      </c>
      <c r="D16" s="11" t="s">
        <v>18</v>
      </c>
      <c r="E16" s="11" t="s">
        <v>23</v>
      </c>
      <c r="F16" s="11" t="s">
        <v>66</v>
      </c>
      <c r="G16" s="11" t="n">
        <v>7</v>
      </c>
      <c r="H16" s="12" t="n">
        <v>340</v>
      </c>
      <c r="I16" s="12" t="n">
        <f aca="false">G16*H16</f>
        <v>2380</v>
      </c>
    </row>
    <row r="17" customFormat="false" ht="15" hidden="false" customHeight="false" outlineLevel="0" collapsed="false">
      <c r="A17" s="11" t="s">
        <v>70</v>
      </c>
      <c r="B17" s="18" t="n">
        <v>46273</v>
      </c>
      <c r="C17" s="11" t="s">
        <v>71</v>
      </c>
      <c r="D17" s="11" t="s">
        <v>17</v>
      </c>
      <c r="E17" s="11" t="s">
        <v>22</v>
      </c>
      <c r="F17" s="11" t="s">
        <v>35</v>
      </c>
      <c r="G17" s="11" t="n">
        <v>3</v>
      </c>
      <c r="H17" s="12" t="n">
        <v>220</v>
      </c>
      <c r="I17" s="12" t="n">
        <f aca="false">G17*H17</f>
        <v>660</v>
      </c>
    </row>
    <row r="18" customFormat="false" ht="15" hidden="false" customHeight="false" outlineLevel="0" collapsed="false">
      <c r="A18" s="11" t="s">
        <v>72</v>
      </c>
      <c r="B18" s="18" t="n">
        <v>46230</v>
      </c>
      <c r="C18" s="11" t="s">
        <v>73</v>
      </c>
      <c r="D18" s="11" t="s">
        <v>15</v>
      </c>
      <c r="E18" s="11" t="s">
        <v>24</v>
      </c>
      <c r="F18" s="11" t="s">
        <v>56</v>
      </c>
      <c r="G18" s="11" t="n">
        <v>1</v>
      </c>
      <c r="H18" s="12" t="n">
        <v>7</v>
      </c>
      <c r="I18" s="12" t="n">
        <f aca="false">G18*H18</f>
        <v>7</v>
      </c>
    </row>
    <row r="19" customFormat="false" ht="15" hidden="false" customHeight="false" outlineLevel="0" collapsed="false">
      <c r="A19" s="11" t="s">
        <v>74</v>
      </c>
      <c r="B19" s="18" t="n">
        <v>46157</v>
      </c>
      <c r="C19" s="11" t="s">
        <v>75</v>
      </c>
      <c r="D19" s="11" t="s">
        <v>17</v>
      </c>
      <c r="E19" s="11" t="s">
        <v>23</v>
      </c>
      <c r="F19" s="11" t="s">
        <v>43</v>
      </c>
      <c r="G19" s="11" t="n">
        <v>8</v>
      </c>
      <c r="H19" s="12" t="n">
        <v>120</v>
      </c>
      <c r="I19" s="12" t="n">
        <f aca="false">G19*H19</f>
        <v>960</v>
      </c>
    </row>
    <row r="20" customFormat="false" ht="15" hidden="false" customHeight="false" outlineLevel="0" collapsed="false">
      <c r="A20" s="11" t="s">
        <v>76</v>
      </c>
      <c r="B20" s="18" t="n">
        <v>46263</v>
      </c>
      <c r="C20" s="11" t="s">
        <v>77</v>
      </c>
      <c r="D20" s="11" t="s">
        <v>17</v>
      </c>
      <c r="E20" s="11" t="s">
        <v>24</v>
      </c>
      <c r="F20" s="11" t="s">
        <v>59</v>
      </c>
      <c r="G20" s="11" t="n">
        <v>1</v>
      </c>
      <c r="H20" s="12" t="n">
        <v>9</v>
      </c>
      <c r="I20" s="12" t="n">
        <f aca="false">G20*H20</f>
        <v>9</v>
      </c>
    </row>
    <row r="21" customFormat="false" ht="15" hidden="false" customHeight="false" outlineLevel="0" collapsed="false">
      <c r="A21" s="11" t="s">
        <v>78</v>
      </c>
      <c r="B21" s="18" t="n">
        <v>46040</v>
      </c>
      <c r="C21" s="11" t="s">
        <v>79</v>
      </c>
      <c r="D21" s="11" t="s">
        <v>17</v>
      </c>
      <c r="E21" s="11" t="s">
        <v>22</v>
      </c>
      <c r="F21" s="11" t="s">
        <v>51</v>
      </c>
      <c r="G21" s="11" t="n">
        <v>2</v>
      </c>
      <c r="H21" s="12" t="n">
        <v>30</v>
      </c>
      <c r="I21" s="12" t="n">
        <f aca="false">G21*H21</f>
        <v>60</v>
      </c>
    </row>
    <row r="22" customFormat="false" ht="15" hidden="false" customHeight="false" outlineLevel="0" collapsed="false">
      <c r="A22" s="11" t="s">
        <v>80</v>
      </c>
      <c r="B22" s="18" t="n">
        <v>46282</v>
      </c>
      <c r="C22" s="11" t="s">
        <v>81</v>
      </c>
      <c r="D22" s="11" t="s">
        <v>17</v>
      </c>
      <c r="E22" s="11" t="s">
        <v>22</v>
      </c>
      <c r="F22" s="11" t="s">
        <v>61</v>
      </c>
      <c r="G22" s="11" t="n">
        <v>10</v>
      </c>
      <c r="H22" s="12" t="n">
        <v>25</v>
      </c>
      <c r="I22" s="12" t="n">
        <f aca="false">G22*H22</f>
        <v>250</v>
      </c>
    </row>
    <row r="23" customFormat="false" ht="15" hidden="false" customHeight="false" outlineLevel="0" collapsed="false">
      <c r="A23" s="11" t="s">
        <v>82</v>
      </c>
      <c r="B23" s="18" t="n">
        <v>46097</v>
      </c>
      <c r="C23" s="11" t="s">
        <v>83</v>
      </c>
      <c r="D23" s="11" t="s">
        <v>16</v>
      </c>
      <c r="E23" s="11" t="s">
        <v>23</v>
      </c>
      <c r="F23" s="11" t="s">
        <v>38</v>
      </c>
      <c r="G23" s="11" t="n">
        <v>1</v>
      </c>
      <c r="H23" s="12" t="n">
        <v>150</v>
      </c>
      <c r="I23" s="12" t="n">
        <f aca="false">G23*H23</f>
        <v>150</v>
      </c>
    </row>
    <row r="24" customFormat="false" ht="15" hidden="false" customHeight="false" outlineLevel="0" collapsed="false">
      <c r="A24" s="11" t="s">
        <v>84</v>
      </c>
      <c r="B24" s="18" t="n">
        <v>46279</v>
      </c>
      <c r="C24" s="11" t="s">
        <v>34</v>
      </c>
      <c r="D24" s="11" t="s">
        <v>16</v>
      </c>
      <c r="E24" s="11" t="s">
        <v>22</v>
      </c>
      <c r="F24" s="11" t="s">
        <v>64</v>
      </c>
      <c r="G24" s="11" t="n">
        <v>5</v>
      </c>
      <c r="H24" s="12" t="n">
        <v>45</v>
      </c>
      <c r="I24" s="12" t="n">
        <f aca="false">G24*H24</f>
        <v>225</v>
      </c>
    </row>
    <row r="25" customFormat="false" ht="15" hidden="false" customHeight="false" outlineLevel="0" collapsed="false">
      <c r="A25" s="11" t="s">
        <v>85</v>
      </c>
      <c r="B25" s="18" t="n">
        <v>46192</v>
      </c>
      <c r="C25" s="11" t="s">
        <v>81</v>
      </c>
      <c r="D25" s="11" t="s">
        <v>17</v>
      </c>
      <c r="E25" s="11" t="s">
        <v>22</v>
      </c>
      <c r="F25" s="11" t="s">
        <v>64</v>
      </c>
      <c r="G25" s="11" t="n">
        <v>10</v>
      </c>
      <c r="H25" s="12" t="n">
        <v>45</v>
      </c>
      <c r="I25" s="12" t="n">
        <f aca="false">G25*H25</f>
        <v>450</v>
      </c>
    </row>
    <row r="26" customFormat="false" ht="15" hidden="false" customHeight="false" outlineLevel="0" collapsed="false">
      <c r="A26" s="11" t="s">
        <v>86</v>
      </c>
      <c r="B26" s="18" t="n">
        <v>46104</v>
      </c>
      <c r="C26" s="11" t="s">
        <v>58</v>
      </c>
      <c r="D26" s="11" t="s">
        <v>16</v>
      </c>
      <c r="E26" s="11" t="s">
        <v>22</v>
      </c>
      <c r="F26" s="11" t="s">
        <v>35</v>
      </c>
      <c r="G26" s="11" t="n">
        <v>10</v>
      </c>
      <c r="H26" s="12" t="n">
        <v>220</v>
      </c>
      <c r="I26" s="12" t="n">
        <f aca="false">G26*H26</f>
        <v>2200</v>
      </c>
    </row>
    <row r="27" customFormat="false" ht="15" hidden="false" customHeight="false" outlineLevel="0" collapsed="false">
      <c r="A27" s="11" t="s">
        <v>87</v>
      </c>
      <c r="B27" s="18" t="n">
        <v>46148</v>
      </c>
      <c r="C27" s="11" t="s">
        <v>88</v>
      </c>
      <c r="D27" s="11" t="s">
        <v>17</v>
      </c>
      <c r="E27" s="11" t="s">
        <v>23</v>
      </c>
      <c r="F27" s="11" t="s">
        <v>66</v>
      </c>
      <c r="G27" s="11" t="n">
        <v>7</v>
      </c>
      <c r="H27" s="12" t="n">
        <v>340</v>
      </c>
      <c r="I27" s="12" t="n">
        <f aca="false">G27*H27</f>
        <v>2380</v>
      </c>
    </row>
    <row r="28" customFormat="false" ht="15" hidden="false" customHeight="false" outlineLevel="0" collapsed="false">
      <c r="A28" s="11" t="s">
        <v>89</v>
      </c>
      <c r="B28" s="18" t="n">
        <v>46242</v>
      </c>
      <c r="C28" s="11" t="s">
        <v>90</v>
      </c>
      <c r="D28" s="11" t="s">
        <v>17</v>
      </c>
      <c r="E28" s="11" t="s">
        <v>23</v>
      </c>
      <c r="F28" s="11" t="s">
        <v>38</v>
      </c>
      <c r="G28" s="11" t="n">
        <v>4</v>
      </c>
      <c r="H28" s="12" t="n">
        <v>150</v>
      </c>
      <c r="I28" s="12" t="n">
        <f aca="false">G28*H28</f>
        <v>600</v>
      </c>
    </row>
    <row r="29" customFormat="false" ht="15" hidden="false" customHeight="false" outlineLevel="0" collapsed="false">
      <c r="A29" s="11" t="s">
        <v>91</v>
      </c>
      <c r="B29" s="18" t="n">
        <v>46089</v>
      </c>
      <c r="C29" s="11" t="s">
        <v>79</v>
      </c>
      <c r="D29" s="11" t="s">
        <v>15</v>
      </c>
      <c r="E29" s="11" t="s">
        <v>22</v>
      </c>
      <c r="F29" s="11" t="s">
        <v>92</v>
      </c>
      <c r="G29" s="11" t="n">
        <v>2</v>
      </c>
      <c r="H29" s="12" t="n">
        <v>80</v>
      </c>
      <c r="I29" s="12" t="n">
        <f aca="false">G29*H29</f>
        <v>160</v>
      </c>
    </row>
    <row r="30" customFormat="false" ht="15" hidden="false" customHeight="false" outlineLevel="0" collapsed="false">
      <c r="A30" s="11" t="s">
        <v>93</v>
      </c>
      <c r="B30" s="18" t="n">
        <v>46155</v>
      </c>
      <c r="C30" s="11" t="s">
        <v>90</v>
      </c>
      <c r="D30" s="11" t="s">
        <v>18</v>
      </c>
      <c r="E30" s="11" t="s">
        <v>24</v>
      </c>
      <c r="F30" s="11" t="s">
        <v>59</v>
      </c>
      <c r="G30" s="11" t="n">
        <v>4</v>
      </c>
      <c r="H30" s="12" t="n">
        <v>9</v>
      </c>
      <c r="I30" s="12" t="n">
        <f aca="false">G30*H30</f>
        <v>36</v>
      </c>
    </row>
    <row r="31" customFormat="false" ht="15" hidden="false" customHeight="false" outlineLevel="0" collapsed="false">
      <c r="A31" s="11" t="s">
        <v>94</v>
      </c>
      <c r="B31" s="18" t="n">
        <v>46049</v>
      </c>
      <c r="C31" s="11" t="s">
        <v>77</v>
      </c>
      <c r="D31" s="11" t="s">
        <v>15</v>
      </c>
      <c r="E31" s="11" t="s">
        <v>22</v>
      </c>
      <c r="F31" s="11" t="s">
        <v>35</v>
      </c>
      <c r="G31" s="11" t="n">
        <v>7</v>
      </c>
      <c r="H31" s="12" t="n">
        <v>220</v>
      </c>
      <c r="I31" s="12" t="n">
        <f aca="false">G31*H31</f>
        <v>1540</v>
      </c>
    </row>
    <row r="32" customFormat="false" ht="15" hidden="false" customHeight="false" outlineLevel="0" collapsed="false">
      <c r="A32" s="11" t="s">
        <v>95</v>
      </c>
      <c r="B32" s="18" t="n">
        <v>46240</v>
      </c>
      <c r="C32" s="11" t="s">
        <v>73</v>
      </c>
      <c r="D32" s="11" t="s">
        <v>16</v>
      </c>
      <c r="E32" s="11" t="s">
        <v>23</v>
      </c>
      <c r="F32" s="11" t="s">
        <v>43</v>
      </c>
      <c r="G32" s="11" t="n">
        <v>9</v>
      </c>
      <c r="H32" s="12" t="n">
        <v>120</v>
      </c>
      <c r="I32" s="12" t="n">
        <f aca="false">G32*H32</f>
        <v>1080</v>
      </c>
    </row>
    <row r="33" customFormat="false" ht="15" hidden="false" customHeight="false" outlineLevel="0" collapsed="false">
      <c r="A33" s="11" t="s">
        <v>96</v>
      </c>
      <c r="B33" s="18" t="n">
        <v>46098</v>
      </c>
      <c r="C33" s="11" t="s">
        <v>77</v>
      </c>
      <c r="D33" s="11" t="s">
        <v>16</v>
      </c>
      <c r="E33" s="11" t="s">
        <v>23</v>
      </c>
      <c r="F33" s="11" t="s">
        <v>97</v>
      </c>
      <c r="G33" s="11" t="n">
        <v>2</v>
      </c>
      <c r="H33" s="12" t="n">
        <v>35</v>
      </c>
      <c r="I33" s="12" t="n">
        <f aca="false">G33*H33</f>
        <v>70</v>
      </c>
    </row>
    <row r="34" customFormat="false" ht="15" hidden="false" customHeight="false" outlineLevel="0" collapsed="false">
      <c r="A34" s="11" t="s">
        <v>98</v>
      </c>
      <c r="B34" s="18" t="n">
        <v>46203</v>
      </c>
      <c r="C34" s="11" t="s">
        <v>99</v>
      </c>
      <c r="D34" s="11" t="s">
        <v>15</v>
      </c>
      <c r="E34" s="11" t="s">
        <v>22</v>
      </c>
      <c r="F34" s="11" t="s">
        <v>61</v>
      </c>
      <c r="G34" s="11" t="n">
        <v>4</v>
      </c>
      <c r="H34" s="12" t="n">
        <v>25</v>
      </c>
      <c r="I34" s="12" t="n">
        <f aca="false">G34*H34</f>
        <v>100</v>
      </c>
    </row>
    <row r="35" customFormat="false" ht="15" hidden="false" customHeight="false" outlineLevel="0" collapsed="false">
      <c r="A35" s="11" t="s">
        <v>100</v>
      </c>
      <c r="B35" s="18" t="n">
        <v>46159</v>
      </c>
      <c r="C35" s="11" t="s">
        <v>90</v>
      </c>
      <c r="D35" s="11" t="s">
        <v>17</v>
      </c>
      <c r="E35" s="11" t="s">
        <v>24</v>
      </c>
      <c r="F35" s="11" t="s">
        <v>56</v>
      </c>
      <c r="G35" s="11" t="n">
        <v>8</v>
      </c>
      <c r="H35" s="12" t="n">
        <v>7</v>
      </c>
      <c r="I35" s="12" t="n">
        <f aca="false">G35*H35</f>
        <v>56</v>
      </c>
    </row>
    <row r="36" customFormat="false" ht="15" hidden="false" customHeight="false" outlineLevel="0" collapsed="false">
      <c r="A36" s="11" t="s">
        <v>101</v>
      </c>
      <c r="B36" s="18" t="n">
        <v>46072</v>
      </c>
      <c r="C36" s="11" t="s">
        <v>99</v>
      </c>
      <c r="D36" s="11" t="s">
        <v>15</v>
      </c>
      <c r="E36" s="11" t="s">
        <v>22</v>
      </c>
      <c r="F36" s="11" t="s">
        <v>92</v>
      </c>
      <c r="G36" s="11" t="n">
        <v>1</v>
      </c>
      <c r="H36" s="12" t="n">
        <v>80</v>
      </c>
      <c r="I36" s="12" t="n">
        <f aca="false">G36*H36</f>
        <v>80</v>
      </c>
    </row>
    <row r="37" customFormat="false" ht="15" hidden="false" customHeight="false" outlineLevel="0" collapsed="false">
      <c r="A37" s="11" t="s">
        <v>102</v>
      </c>
      <c r="B37" s="18" t="n">
        <v>46110</v>
      </c>
      <c r="C37" s="11" t="s">
        <v>48</v>
      </c>
      <c r="D37" s="11" t="s">
        <v>15</v>
      </c>
      <c r="E37" s="11" t="s">
        <v>23</v>
      </c>
      <c r="F37" s="11" t="s">
        <v>38</v>
      </c>
      <c r="G37" s="11" t="n">
        <v>1</v>
      </c>
      <c r="H37" s="12" t="n">
        <v>150</v>
      </c>
      <c r="I37" s="12" t="n">
        <f aca="false">G37*H37</f>
        <v>150</v>
      </c>
    </row>
    <row r="38" customFormat="false" ht="15" hidden="false" customHeight="false" outlineLevel="0" collapsed="false">
      <c r="A38" s="11" t="s">
        <v>103</v>
      </c>
      <c r="B38" s="18" t="n">
        <v>46092</v>
      </c>
      <c r="C38" s="11" t="s">
        <v>88</v>
      </c>
      <c r="D38" s="11" t="s">
        <v>16</v>
      </c>
      <c r="E38" s="11" t="s">
        <v>24</v>
      </c>
      <c r="F38" s="11" t="s">
        <v>46</v>
      </c>
      <c r="G38" s="11" t="n">
        <v>1</v>
      </c>
      <c r="H38" s="12" t="n">
        <v>15</v>
      </c>
      <c r="I38" s="12" t="n">
        <f aca="false">G38*H38</f>
        <v>15</v>
      </c>
    </row>
    <row r="39" customFormat="false" ht="15" hidden="false" customHeight="false" outlineLevel="0" collapsed="false">
      <c r="A39" s="11" t="s">
        <v>104</v>
      </c>
      <c r="B39" s="18" t="n">
        <v>46276</v>
      </c>
      <c r="C39" s="11" t="s">
        <v>71</v>
      </c>
      <c r="D39" s="11" t="s">
        <v>15</v>
      </c>
      <c r="E39" s="11" t="s">
        <v>22</v>
      </c>
      <c r="F39" s="11" t="s">
        <v>51</v>
      </c>
      <c r="G39" s="11" t="n">
        <v>8</v>
      </c>
      <c r="H39" s="12" t="n">
        <v>30</v>
      </c>
      <c r="I39" s="12" t="n">
        <f aca="false">G39*H39</f>
        <v>240</v>
      </c>
    </row>
    <row r="40" customFormat="false" ht="15" hidden="false" customHeight="false" outlineLevel="0" collapsed="false">
      <c r="A40" s="11" t="s">
        <v>105</v>
      </c>
      <c r="B40" s="18" t="n">
        <v>46150</v>
      </c>
      <c r="C40" s="11" t="s">
        <v>81</v>
      </c>
      <c r="D40" s="11" t="s">
        <v>15</v>
      </c>
      <c r="E40" s="11" t="s">
        <v>23</v>
      </c>
      <c r="F40" s="11" t="s">
        <v>38</v>
      </c>
      <c r="G40" s="11" t="n">
        <v>5</v>
      </c>
      <c r="H40" s="12" t="n">
        <v>150</v>
      </c>
      <c r="I40" s="12" t="n">
        <f aca="false">G40*H40</f>
        <v>750</v>
      </c>
    </row>
    <row r="41" customFormat="false" ht="15" hidden="false" customHeight="false" outlineLevel="0" collapsed="false">
      <c r="A41" s="11" t="s">
        <v>106</v>
      </c>
      <c r="B41" s="18" t="n">
        <v>46206</v>
      </c>
      <c r="C41" s="11" t="s">
        <v>50</v>
      </c>
      <c r="D41" s="11" t="s">
        <v>15</v>
      </c>
      <c r="E41" s="11" t="s">
        <v>24</v>
      </c>
      <c r="F41" s="11" t="s">
        <v>59</v>
      </c>
      <c r="G41" s="11" t="n">
        <v>1</v>
      </c>
      <c r="H41" s="12" t="n">
        <v>9</v>
      </c>
      <c r="I41" s="12" t="n">
        <f aca="false">G41*H41</f>
        <v>9</v>
      </c>
    </row>
    <row r="42" customFormat="false" ht="15" hidden="false" customHeight="false" outlineLevel="0" collapsed="false">
      <c r="A42" s="11" t="s">
        <v>107</v>
      </c>
      <c r="B42" s="18" t="n">
        <v>46251</v>
      </c>
      <c r="C42" s="11" t="s">
        <v>81</v>
      </c>
      <c r="D42" s="11" t="s">
        <v>17</v>
      </c>
      <c r="E42" s="11" t="s">
        <v>22</v>
      </c>
      <c r="F42" s="11" t="s">
        <v>51</v>
      </c>
      <c r="G42" s="11" t="n">
        <v>7</v>
      </c>
      <c r="H42" s="12" t="n">
        <v>30</v>
      </c>
      <c r="I42" s="12" t="n">
        <f aca="false">G42*H42</f>
        <v>210</v>
      </c>
    </row>
    <row r="43" customFormat="false" ht="15" hidden="false" customHeight="false" outlineLevel="0" collapsed="false">
      <c r="A43" s="11" t="s">
        <v>108</v>
      </c>
      <c r="B43" s="18" t="n">
        <v>46152</v>
      </c>
      <c r="C43" s="11" t="s">
        <v>42</v>
      </c>
      <c r="D43" s="11" t="s">
        <v>17</v>
      </c>
      <c r="E43" s="11" t="s">
        <v>24</v>
      </c>
      <c r="F43" s="11" t="s">
        <v>46</v>
      </c>
      <c r="G43" s="11" t="n">
        <v>1</v>
      </c>
      <c r="H43" s="12" t="n">
        <v>15</v>
      </c>
      <c r="I43" s="12" t="n">
        <f aca="false">G43*H43</f>
        <v>15</v>
      </c>
    </row>
    <row r="44" customFormat="false" ht="15" hidden="false" customHeight="false" outlineLevel="0" collapsed="false">
      <c r="A44" s="11" t="s">
        <v>109</v>
      </c>
      <c r="B44" s="18" t="n">
        <v>46291</v>
      </c>
      <c r="C44" s="11" t="s">
        <v>110</v>
      </c>
      <c r="D44" s="11" t="s">
        <v>18</v>
      </c>
      <c r="E44" s="11" t="s">
        <v>24</v>
      </c>
      <c r="F44" s="11" t="s">
        <v>46</v>
      </c>
      <c r="G44" s="11" t="n">
        <v>4</v>
      </c>
      <c r="H44" s="12" t="n">
        <v>15</v>
      </c>
      <c r="I44" s="12" t="n">
        <f aca="false">G44*H44</f>
        <v>60</v>
      </c>
    </row>
    <row r="45" customFormat="false" ht="15" hidden="false" customHeight="false" outlineLevel="0" collapsed="false">
      <c r="A45" s="11" t="s">
        <v>111</v>
      </c>
      <c r="B45" s="18" t="n">
        <v>46197</v>
      </c>
      <c r="C45" s="11" t="s">
        <v>110</v>
      </c>
      <c r="D45" s="11" t="s">
        <v>18</v>
      </c>
      <c r="E45" s="11" t="s">
        <v>22</v>
      </c>
      <c r="F45" s="11" t="s">
        <v>61</v>
      </c>
      <c r="G45" s="11" t="n">
        <v>8</v>
      </c>
      <c r="H45" s="12" t="n">
        <v>25</v>
      </c>
      <c r="I45" s="12" t="n">
        <f aca="false">G45*H45</f>
        <v>200</v>
      </c>
    </row>
    <row r="46" customFormat="false" ht="15" hidden="false" customHeight="false" outlineLevel="0" collapsed="false">
      <c r="A46" s="11" t="s">
        <v>112</v>
      </c>
      <c r="B46" s="18" t="n">
        <v>46237</v>
      </c>
      <c r="C46" s="11" t="s">
        <v>79</v>
      </c>
      <c r="D46" s="11" t="s">
        <v>15</v>
      </c>
      <c r="E46" s="11" t="s">
        <v>24</v>
      </c>
      <c r="F46" s="11" t="s">
        <v>56</v>
      </c>
      <c r="G46" s="11" t="n">
        <v>5</v>
      </c>
      <c r="H46" s="12" t="n">
        <v>7</v>
      </c>
      <c r="I46" s="12" t="n">
        <f aca="false">G46*H46</f>
        <v>35</v>
      </c>
    </row>
    <row r="47" customFormat="false" ht="15" hidden="false" customHeight="false" outlineLevel="0" collapsed="false">
      <c r="A47" s="11" t="s">
        <v>113</v>
      </c>
      <c r="B47" s="18" t="n">
        <v>46221</v>
      </c>
      <c r="C47" s="11" t="s">
        <v>114</v>
      </c>
      <c r="D47" s="11" t="s">
        <v>15</v>
      </c>
      <c r="E47" s="11" t="s">
        <v>23</v>
      </c>
      <c r="F47" s="11" t="s">
        <v>66</v>
      </c>
      <c r="G47" s="11" t="n">
        <v>4</v>
      </c>
      <c r="H47" s="12" t="n">
        <v>340</v>
      </c>
      <c r="I47" s="12" t="n">
        <f aca="false">G47*H47</f>
        <v>1360</v>
      </c>
    </row>
    <row r="48" customFormat="false" ht="15" hidden="false" customHeight="false" outlineLevel="0" collapsed="false">
      <c r="A48" s="11" t="s">
        <v>115</v>
      </c>
      <c r="B48" s="18" t="n">
        <v>46153</v>
      </c>
      <c r="C48" s="11" t="s">
        <v>40</v>
      </c>
      <c r="D48" s="11" t="s">
        <v>15</v>
      </c>
      <c r="E48" s="11" t="s">
        <v>22</v>
      </c>
      <c r="F48" s="11" t="s">
        <v>64</v>
      </c>
      <c r="G48" s="11" t="n">
        <v>4</v>
      </c>
      <c r="H48" s="12" t="n">
        <v>45</v>
      </c>
      <c r="I48" s="12" t="n">
        <f aca="false">G48*H48</f>
        <v>180</v>
      </c>
    </row>
    <row r="49" customFormat="false" ht="15" hidden="false" customHeight="false" outlineLevel="0" collapsed="false">
      <c r="A49" s="11" t="s">
        <v>116</v>
      </c>
      <c r="B49" s="18" t="n">
        <v>46048</v>
      </c>
      <c r="C49" s="11" t="s">
        <v>117</v>
      </c>
      <c r="D49" s="11" t="s">
        <v>16</v>
      </c>
      <c r="E49" s="11" t="s">
        <v>22</v>
      </c>
      <c r="F49" s="11" t="s">
        <v>61</v>
      </c>
      <c r="G49" s="11" t="n">
        <v>8</v>
      </c>
      <c r="H49" s="12" t="n">
        <v>25</v>
      </c>
      <c r="I49" s="12" t="n">
        <f aca="false">G49*H49</f>
        <v>200</v>
      </c>
    </row>
    <row r="50" customFormat="false" ht="15" hidden="false" customHeight="false" outlineLevel="0" collapsed="false">
      <c r="A50" s="11" t="s">
        <v>118</v>
      </c>
      <c r="B50" s="18" t="n">
        <v>46240</v>
      </c>
      <c r="C50" s="11" t="s">
        <v>37</v>
      </c>
      <c r="D50" s="11" t="s">
        <v>16</v>
      </c>
      <c r="E50" s="11" t="s">
        <v>24</v>
      </c>
      <c r="F50" s="11" t="s">
        <v>119</v>
      </c>
      <c r="G50" s="11" t="n">
        <v>5</v>
      </c>
      <c r="H50" s="12" t="n">
        <v>6</v>
      </c>
      <c r="I50" s="12" t="n">
        <f aca="false">G50*H50</f>
        <v>30</v>
      </c>
    </row>
    <row r="51" customFormat="false" ht="15" hidden="false" customHeight="false" outlineLevel="0" collapsed="false">
      <c r="A51" s="11" t="s">
        <v>120</v>
      </c>
      <c r="B51" s="18" t="n">
        <v>46117</v>
      </c>
      <c r="C51" s="11" t="s">
        <v>71</v>
      </c>
      <c r="D51" s="11" t="s">
        <v>17</v>
      </c>
      <c r="E51" s="11" t="s">
        <v>24</v>
      </c>
      <c r="F51" s="11" t="s">
        <v>54</v>
      </c>
      <c r="G51" s="11" t="n">
        <v>2</v>
      </c>
      <c r="H51" s="12" t="n">
        <v>12</v>
      </c>
      <c r="I51" s="12" t="n">
        <f aca="false">G51*H51</f>
        <v>24</v>
      </c>
    </row>
    <row r="52" customFormat="false" ht="15" hidden="false" customHeight="false" outlineLevel="0" collapsed="false">
      <c r="A52" s="11" t="s">
        <v>121</v>
      </c>
      <c r="B52" s="18" t="n">
        <v>46077</v>
      </c>
      <c r="C52" s="11" t="s">
        <v>68</v>
      </c>
      <c r="D52" s="11" t="s">
        <v>17</v>
      </c>
      <c r="E52" s="11" t="s">
        <v>23</v>
      </c>
      <c r="F52" s="11" t="s">
        <v>97</v>
      </c>
      <c r="G52" s="11" t="n">
        <v>7</v>
      </c>
      <c r="H52" s="12" t="n">
        <v>35</v>
      </c>
      <c r="I52" s="12" t="n">
        <f aca="false">G52*H52</f>
        <v>245</v>
      </c>
    </row>
    <row r="53" customFormat="false" ht="15" hidden="false" customHeight="false" outlineLevel="0" collapsed="false">
      <c r="A53" s="11" t="s">
        <v>122</v>
      </c>
      <c r="B53" s="18" t="n">
        <v>46193</v>
      </c>
      <c r="C53" s="11" t="s">
        <v>90</v>
      </c>
      <c r="D53" s="11" t="s">
        <v>17</v>
      </c>
      <c r="E53" s="11" t="s">
        <v>23</v>
      </c>
      <c r="F53" s="11" t="s">
        <v>97</v>
      </c>
      <c r="G53" s="11" t="n">
        <v>6</v>
      </c>
      <c r="H53" s="12" t="n">
        <v>35</v>
      </c>
      <c r="I53" s="12" t="n">
        <f aca="false">G53*H53</f>
        <v>210</v>
      </c>
    </row>
    <row r="54" customFormat="false" ht="15" hidden="false" customHeight="false" outlineLevel="0" collapsed="false">
      <c r="A54" s="11" t="s">
        <v>123</v>
      </c>
      <c r="B54" s="18" t="n">
        <v>46258</v>
      </c>
      <c r="C54" s="11" t="s">
        <v>42</v>
      </c>
      <c r="D54" s="11" t="s">
        <v>17</v>
      </c>
      <c r="E54" s="11" t="s">
        <v>22</v>
      </c>
      <c r="F54" s="11" t="s">
        <v>64</v>
      </c>
      <c r="G54" s="11" t="n">
        <v>10</v>
      </c>
      <c r="H54" s="12" t="n">
        <v>45</v>
      </c>
      <c r="I54" s="12" t="n">
        <f aca="false">G54*H54</f>
        <v>450</v>
      </c>
    </row>
    <row r="55" customFormat="false" ht="15" hidden="false" customHeight="false" outlineLevel="0" collapsed="false">
      <c r="A55" s="11" t="s">
        <v>124</v>
      </c>
      <c r="B55" s="18" t="n">
        <v>46047</v>
      </c>
      <c r="C55" s="11" t="s">
        <v>42</v>
      </c>
      <c r="D55" s="11" t="s">
        <v>15</v>
      </c>
      <c r="E55" s="11" t="s">
        <v>23</v>
      </c>
      <c r="F55" s="11" t="s">
        <v>43</v>
      </c>
      <c r="G55" s="11" t="n">
        <v>9</v>
      </c>
      <c r="H55" s="12" t="n">
        <v>120</v>
      </c>
      <c r="I55" s="12" t="n">
        <f aca="false">G55*H55</f>
        <v>1080</v>
      </c>
    </row>
    <row r="56" customFormat="false" ht="15" hidden="false" customHeight="false" outlineLevel="0" collapsed="false">
      <c r="A56" s="11" t="s">
        <v>125</v>
      </c>
      <c r="B56" s="18" t="n">
        <v>46271</v>
      </c>
      <c r="C56" s="11" t="s">
        <v>75</v>
      </c>
      <c r="D56" s="11" t="s">
        <v>17</v>
      </c>
      <c r="E56" s="11" t="s">
        <v>24</v>
      </c>
      <c r="F56" s="11" t="s">
        <v>54</v>
      </c>
      <c r="G56" s="11" t="n">
        <v>5</v>
      </c>
      <c r="H56" s="12" t="n">
        <v>12</v>
      </c>
      <c r="I56" s="12" t="n">
        <f aca="false">G56*H56</f>
        <v>60</v>
      </c>
    </row>
    <row r="57" customFormat="false" ht="15" hidden="false" customHeight="false" outlineLevel="0" collapsed="false">
      <c r="A57" s="11" t="s">
        <v>126</v>
      </c>
      <c r="B57" s="18" t="n">
        <v>46035</v>
      </c>
      <c r="C57" s="11" t="s">
        <v>79</v>
      </c>
      <c r="D57" s="11" t="s">
        <v>15</v>
      </c>
      <c r="E57" s="11" t="s">
        <v>23</v>
      </c>
      <c r="F57" s="11" t="s">
        <v>97</v>
      </c>
      <c r="G57" s="11" t="n">
        <v>3</v>
      </c>
      <c r="H57" s="12" t="n">
        <v>35</v>
      </c>
      <c r="I57" s="12" t="n">
        <f aca="false">G57*H57</f>
        <v>105</v>
      </c>
    </row>
    <row r="58" customFormat="false" ht="15" hidden="false" customHeight="false" outlineLevel="0" collapsed="false">
      <c r="A58" s="11" t="s">
        <v>127</v>
      </c>
      <c r="B58" s="18" t="n">
        <v>46181</v>
      </c>
      <c r="C58" s="11" t="s">
        <v>40</v>
      </c>
      <c r="D58" s="11" t="s">
        <v>18</v>
      </c>
      <c r="E58" s="11" t="s">
        <v>22</v>
      </c>
      <c r="F58" s="11" t="s">
        <v>35</v>
      </c>
      <c r="G58" s="11" t="n">
        <v>4</v>
      </c>
      <c r="H58" s="12" t="n">
        <v>220</v>
      </c>
      <c r="I58" s="12" t="n">
        <f aca="false">G58*H58</f>
        <v>880</v>
      </c>
    </row>
    <row r="59" customFormat="false" ht="15" hidden="false" customHeight="false" outlineLevel="0" collapsed="false">
      <c r="A59" s="11" t="s">
        <v>128</v>
      </c>
      <c r="B59" s="18" t="n">
        <v>46202</v>
      </c>
      <c r="C59" s="11" t="s">
        <v>53</v>
      </c>
      <c r="D59" s="11" t="s">
        <v>17</v>
      </c>
      <c r="E59" s="11" t="s">
        <v>24</v>
      </c>
      <c r="F59" s="11" t="s">
        <v>56</v>
      </c>
      <c r="G59" s="11" t="n">
        <v>10</v>
      </c>
      <c r="H59" s="12" t="n">
        <v>7</v>
      </c>
      <c r="I59" s="12" t="n">
        <f aca="false">G59*H59</f>
        <v>70</v>
      </c>
    </row>
    <row r="60" customFormat="false" ht="15" hidden="false" customHeight="false" outlineLevel="0" collapsed="false">
      <c r="A60" s="11" t="s">
        <v>129</v>
      </c>
      <c r="B60" s="18" t="n">
        <v>46194</v>
      </c>
      <c r="C60" s="11" t="s">
        <v>114</v>
      </c>
      <c r="D60" s="11" t="s">
        <v>18</v>
      </c>
      <c r="E60" s="11" t="s">
        <v>22</v>
      </c>
      <c r="F60" s="11" t="s">
        <v>35</v>
      </c>
      <c r="G60" s="11" t="n">
        <v>6</v>
      </c>
      <c r="H60" s="12" t="n">
        <v>220</v>
      </c>
      <c r="I60" s="12" t="n">
        <f aca="false">G60*H60</f>
        <v>1320</v>
      </c>
    </row>
    <row r="61" customFormat="false" ht="15" hidden="false" customHeight="false" outlineLevel="0" collapsed="false">
      <c r="A61" s="11" t="s">
        <v>130</v>
      </c>
      <c r="B61" s="18" t="n">
        <v>46179</v>
      </c>
      <c r="C61" s="11" t="s">
        <v>40</v>
      </c>
      <c r="D61" s="11" t="s">
        <v>17</v>
      </c>
      <c r="E61" s="11" t="s">
        <v>22</v>
      </c>
      <c r="F61" s="11" t="s">
        <v>61</v>
      </c>
      <c r="G61" s="11" t="n">
        <v>1</v>
      </c>
      <c r="H61" s="12" t="n">
        <v>25</v>
      </c>
      <c r="I61" s="12" t="n">
        <f aca="false">G61*H61</f>
        <v>25</v>
      </c>
    </row>
    <row r="62" customFormat="false" ht="15" hidden="false" customHeight="false" outlineLevel="0" collapsed="false">
      <c r="A62" s="11" t="s">
        <v>131</v>
      </c>
      <c r="B62" s="18" t="n">
        <v>46125</v>
      </c>
      <c r="C62" s="11" t="s">
        <v>132</v>
      </c>
      <c r="D62" s="11" t="s">
        <v>16</v>
      </c>
      <c r="E62" s="11" t="s">
        <v>22</v>
      </c>
      <c r="F62" s="11" t="s">
        <v>92</v>
      </c>
      <c r="G62" s="11" t="n">
        <v>4</v>
      </c>
      <c r="H62" s="12" t="n">
        <v>80</v>
      </c>
      <c r="I62" s="12" t="n">
        <f aca="false">G62*H62</f>
        <v>320</v>
      </c>
    </row>
    <row r="63" customFormat="false" ht="15" hidden="false" customHeight="false" outlineLevel="0" collapsed="false">
      <c r="A63" s="11" t="s">
        <v>133</v>
      </c>
      <c r="B63" s="18" t="n">
        <v>46249</v>
      </c>
      <c r="C63" s="11" t="s">
        <v>132</v>
      </c>
      <c r="D63" s="11" t="s">
        <v>18</v>
      </c>
      <c r="E63" s="11" t="s">
        <v>23</v>
      </c>
      <c r="F63" s="11" t="s">
        <v>43</v>
      </c>
      <c r="G63" s="11" t="n">
        <v>10</v>
      </c>
      <c r="H63" s="12" t="n">
        <v>120</v>
      </c>
      <c r="I63" s="12" t="n">
        <f aca="false">G63*H63</f>
        <v>1200</v>
      </c>
    </row>
    <row r="64" customFormat="false" ht="15" hidden="false" customHeight="false" outlineLevel="0" collapsed="false">
      <c r="A64" s="11" t="s">
        <v>134</v>
      </c>
      <c r="B64" s="18" t="n">
        <v>46062</v>
      </c>
      <c r="C64" s="11" t="s">
        <v>71</v>
      </c>
      <c r="D64" s="11" t="s">
        <v>16</v>
      </c>
      <c r="E64" s="11" t="s">
        <v>22</v>
      </c>
      <c r="F64" s="11" t="s">
        <v>51</v>
      </c>
      <c r="G64" s="11" t="n">
        <v>10</v>
      </c>
      <c r="H64" s="12" t="n">
        <v>30</v>
      </c>
      <c r="I64" s="12" t="n">
        <f aca="false">G64*H64</f>
        <v>300</v>
      </c>
    </row>
    <row r="65" customFormat="false" ht="15" hidden="false" customHeight="false" outlineLevel="0" collapsed="false">
      <c r="A65" s="11" t="s">
        <v>135</v>
      </c>
      <c r="B65" s="18" t="n">
        <v>46128</v>
      </c>
      <c r="C65" s="11" t="s">
        <v>136</v>
      </c>
      <c r="D65" s="11" t="s">
        <v>18</v>
      </c>
      <c r="E65" s="11" t="s">
        <v>22</v>
      </c>
      <c r="F65" s="11" t="s">
        <v>35</v>
      </c>
      <c r="G65" s="11" t="n">
        <v>9</v>
      </c>
      <c r="H65" s="12" t="n">
        <v>220</v>
      </c>
      <c r="I65" s="12" t="n">
        <f aca="false">G65*H65</f>
        <v>1980</v>
      </c>
    </row>
    <row r="66" customFormat="false" ht="15" hidden="false" customHeight="false" outlineLevel="0" collapsed="false">
      <c r="A66" s="11" t="s">
        <v>137</v>
      </c>
      <c r="B66" s="18" t="n">
        <v>46090</v>
      </c>
      <c r="C66" s="11" t="s">
        <v>75</v>
      </c>
      <c r="D66" s="11" t="s">
        <v>18</v>
      </c>
      <c r="E66" s="11" t="s">
        <v>22</v>
      </c>
      <c r="F66" s="11" t="s">
        <v>35</v>
      </c>
      <c r="G66" s="11" t="n">
        <v>2</v>
      </c>
      <c r="H66" s="12" t="n">
        <v>220</v>
      </c>
      <c r="I66" s="12" t="n">
        <f aca="false">G66*H66</f>
        <v>440</v>
      </c>
    </row>
    <row r="67" customFormat="false" ht="15" hidden="false" customHeight="false" outlineLevel="0" collapsed="false">
      <c r="A67" s="11" t="s">
        <v>138</v>
      </c>
      <c r="B67" s="18" t="n">
        <v>46141</v>
      </c>
      <c r="C67" s="11" t="s">
        <v>139</v>
      </c>
      <c r="D67" s="11" t="s">
        <v>15</v>
      </c>
      <c r="E67" s="11" t="s">
        <v>22</v>
      </c>
      <c r="F67" s="11" t="s">
        <v>61</v>
      </c>
      <c r="G67" s="11" t="n">
        <v>2</v>
      </c>
      <c r="H67" s="12" t="n">
        <v>25</v>
      </c>
      <c r="I67" s="12" t="n">
        <f aca="false">G67*H67</f>
        <v>50</v>
      </c>
    </row>
    <row r="68" customFormat="false" ht="15" hidden="false" customHeight="false" outlineLevel="0" collapsed="false">
      <c r="A68" s="11" t="s">
        <v>140</v>
      </c>
      <c r="B68" s="18" t="n">
        <v>46264</v>
      </c>
      <c r="C68" s="11" t="s">
        <v>141</v>
      </c>
      <c r="D68" s="11" t="s">
        <v>18</v>
      </c>
      <c r="E68" s="11" t="s">
        <v>22</v>
      </c>
      <c r="F68" s="11" t="s">
        <v>51</v>
      </c>
      <c r="G68" s="11" t="n">
        <v>9</v>
      </c>
      <c r="H68" s="12" t="n">
        <v>30</v>
      </c>
      <c r="I68" s="12" t="n">
        <f aca="false">G68*H68</f>
        <v>270</v>
      </c>
    </row>
    <row r="69" customFormat="false" ht="15" hidden="false" customHeight="false" outlineLevel="0" collapsed="false">
      <c r="A69" s="11" t="s">
        <v>142</v>
      </c>
      <c r="B69" s="18" t="n">
        <v>46085</v>
      </c>
      <c r="C69" s="11" t="s">
        <v>50</v>
      </c>
      <c r="D69" s="11" t="s">
        <v>17</v>
      </c>
      <c r="E69" s="11" t="s">
        <v>24</v>
      </c>
      <c r="F69" s="11" t="s">
        <v>54</v>
      </c>
      <c r="G69" s="11" t="n">
        <v>6</v>
      </c>
      <c r="H69" s="12" t="n">
        <v>12</v>
      </c>
      <c r="I69" s="12" t="n">
        <f aca="false">G69*H69</f>
        <v>72</v>
      </c>
    </row>
    <row r="70" customFormat="false" ht="15" hidden="false" customHeight="false" outlineLevel="0" collapsed="false">
      <c r="A70" s="11" t="s">
        <v>143</v>
      </c>
      <c r="B70" s="18" t="n">
        <v>46270</v>
      </c>
      <c r="C70" s="11" t="s">
        <v>71</v>
      </c>
      <c r="D70" s="11" t="s">
        <v>15</v>
      </c>
      <c r="E70" s="11" t="s">
        <v>23</v>
      </c>
      <c r="F70" s="11" t="s">
        <v>97</v>
      </c>
      <c r="G70" s="11" t="n">
        <v>8</v>
      </c>
      <c r="H70" s="12" t="n">
        <v>35</v>
      </c>
      <c r="I70" s="12" t="n">
        <f aca="false">G70*H70</f>
        <v>280</v>
      </c>
    </row>
    <row r="71" customFormat="false" ht="15" hidden="false" customHeight="false" outlineLevel="0" collapsed="false">
      <c r="A71" s="11" t="s">
        <v>144</v>
      </c>
      <c r="B71" s="18" t="n">
        <v>46254</v>
      </c>
      <c r="C71" s="11" t="s">
        <v>141</v>
      </c>
      <c r="D71" s="11" t="s">
        <v>15</v>
      </c>
      <c r="E71" s="11" t="s">
        <v>24</v>
      </c>
      <c r="F71" s="11" t="s">
        <v>46</v>
      </c>
      <c r="G71" s="11" t="n">
        <v>1</v>
      </c>
      <c r="H71" s="12" t="n">
        <v>15</v>
      </c>
      <c r="I71" s="12" t="n">
        <f aca="false">G71*H71</f>
        <v>15</v>
      </c>
    </row>
    <row r="72" customFormat="false" ht="15" hidden="false" customHeight="false" outlineLevel="0" collapsed="false">
      <c r="A72" s="11" t="s">
        <v>145</v>
      </c>
      <c r="B72" s="18" t="n">
        <v>46126</v>
      </c>
      <c r="C72" s="11" t="s">
        <v>139</v>
      </c>
      <c r="D72" s="11" t="s">
        <v>15</v>
      </c>
      <c r="E72" s="11" t="s">
        <v>22</v>
      </c>
      <c r="F72" s="11" t="s">
        <v>35</v>
      </c>
      <c r="G72" s="11" t="n">
        <v>7</v>
      </c>
      <c r="H72" s="12" t="n">
        <v>220</v>
      </c>
      <c r="I72" s="12" t="n">
        <f aca="false">G72*H72</f>
        <v>1540</v>
      </c>
    </row>
    <row r="73" customFormat="false" ht="15" hidden="false" customHeight="false" outlineLevel="0" collapsed="false">
      <c r="A73" s="11" t="s">
        <v>146</v>
      </c>
      <c r="B73" s="18" t="n">
        <v>46241</v>
      </c>
      <c r="C73" s="11" t="s">
        <v>147</v>
      </c>
      <c r="D73" s="11" t="s">
        <v>16</v>
      </c>
      <c r="E73" s="11" t="s">
        <v>23</v>
      </c>
      <c r="F73" s="11" t="s">
        <v>97</v>
      </c>
      <c r="G73" s="11" t="n">
        <v>5</v>
      </c>
      <c r="H73" s="12" t="n">
        <v>35</v>
      </c>
      <c r="I73" s="12" t="n">
        <f aca="false">G73*H73</f>
        <v>175</v>
      </c>
    </row>
    <row r="74" customFormat="false" ht="15" hidden="false" customHeight="false" outlineLevel="0" collapsed="false">
      <c r="A74" s="11" t="s">
        <v>148</v>
      </c>
      <c r="B74" s="18" t="n">
        <v>46269</v>
      </c>
      <c r="C74" s="11" t="s">
        <v>114</v>
      </c>
      <c r="D74" s="11" t="s">
        <v>16</v>
      </c>
      <c r="E74" s="11" t="s">
        <v>22</v>
      </c>
      <c r="F74" s="11" t="s">
        <v>51</v>
      </c>
      <c r="G74" s="11" t="n">
        <v>6</v>
      </c>
      <c r="H74" s="12" t="n">
        <v>30</v>
      </c>
      <c r="I74" s="12" t="n">
        <f aca="false">G74*H74</f>
        <v>180</v>
      </c>
    </row>
    <row r="75" customFormat="false" ht="15" hidden="false" customHeight="false" outlineLevel="0" collapsed="false">
      <c r="A75" s="11" t="s">
        <v>149</v>
      </c>
      <c r="B75" s="18" t="n">
        <v>46238</v>
      </c>
      <c r="C75" s="11" t="s">
        <v>81</v>
      </c>
      <c r="D75" s="11" t="s">
        <v>16</v>
      </c>
      <c r="E75" s="11" t="s">
        <v>24</v>
      </c>
      <c r="F75" s="11" t="s">
        <v>56</v>
      </c>
      <c r="G75" s="11" t="n">
        <v>3</v>
      </c>
      <c r="H75" s="12" t="n">
        <v>7</v>
      </c>
      <c r="I75" s="12" t="n">
        <f aca="false">G75*H75</f>
        <v>21</v>
      </c>
    </row>
    <row r="76" customFormat="false" ht="15" hidden="false" customHeight="false" outlineLevel="0" collapsed="false">
      <c r="A76" s="11" t="s">
        <v>150</v>
      </c>
      <c r="B76" s="18" t="n">
        <v>46084</v>
      </c>
      <c r="C76" s="11" t="s">
        <v>34</v>
      </c>
      <c r="D76" s="11" t="s">
        <v>16</v>
      </c>
      <c r="E76" s="11" t="s">
        <v>23</v>
      </c>
      <c r="F76" s="11" t="s">
        <v>97</v>
      </c>
      <c r="G76" s="11" t="n">
        <v>3</v>
      </c>
      <c r="H76" s="12" t="n">
        <v>35</v>
      </c>
      <c r="I76" s="12" t="n">
        <f aca="false">G76*H76</f>
        <v>105</v>
      </c>
    </row>
    <row r="77" customFormat="false" ht="15" hidden="false" customHeight="false" outlineLevel="0" collapsed="false">
      <c r="A77" s="11" t="s">
        <v>151</v>
      </c>
      <c r="B77" s="18" t="n">
        <v>46096</v>
      </c>
      <c r="C77" s="11" t="s">
        <v>79</v>
      </c>
      <c r="D77" s="11" t="s">
        <v>18</v>
      </c>
      <c r="E77" s="11" t="s">
        <v>24</v>
      </c>
      <c r="F77" s="11" t="s">
        <v>54</v>
      </c>
      <c r="G77" s="11" t="n">
        <v>4</v>
      </c>
      <c r="H77" s="12" t="n">
        <v>12</v>
      </c>
      <c r="I77" s="12" t="n">
        <f aca="false">G77*H77</f>
        <v>48</v>
      </c>
    </row>
    <row r="78" customFormat="false" ht="15" hidden="false" customHeight="false" outlineLevel="0" collapsed="false">
      <c r="A78" s="11" t="s">
        <v>152</v>
      </c>
      <c r="B78" s="18" t="n">
        <v>46140</v>
      </c>
      <c r="C78" s="11" t="s">
        <v>117</v>
      </c>
      <c r="D78" s="11" t="s">
        <v>16</v>
      </c>
      <c r="E78" s="11" t="s">
        <v>23</v>
      </c>
      <c r="F78" s="11" t="s">
        <v>38</v>
      </c>
      <c r="G78" s="11" t="n">
        <v>4</v>
      </c>
      <c r="H78" s="12" t="n">
        <v>150</v>
      </c>
      <c r="I78" s="12" t="n">
        <f aca="false">G78*H78</f>
        <v>600</v>
      </c>
    </row>
    <row r="79" customFormat="false" ht="15" hidden="false" customHeight="false" outlineLevel="0" collapsed="false">
      <c r="A79" s="11" t="s">
        <v>153</v>
      </c>
      <c r="B79" s="18" t="n">
        <v>46164</v>
      </c>
      <c r="C79" s="11" t="s">
        <v>136</v>
      </c>
      <c r="D79" s="11" t="s">
        <v>16</v>
      </c>
      <c r="E79" s="11" t="s">
        <v>24</v>
      </c>
      <c r="F79" s="11" t="s">
        <v>46</v>
      </c>
      <c r="G79" s="11" t="n">
        <v>1</v>
      </c>
      <c r="H79" s="12" t="n">
        <v>15</v>
      </c>
      <c r="I79" s="12" t="n">
        <f aca="false">G79*H79</f>
        <v>15</v>
      </c>
    </row>
    <row r="80" customFormat="false" ht="15" hidden="false" customHeight="false" outlineLevel="0" collapsed="false">
      <c r="A80" s="11" t="s">
        <v>154</v>
      </c>
      <c r="B80" s="18" t="n">
        <v>46140</v>
      </c>
      <c r="C80" s="11" t="s">
        <v>147</v>
      </c>
      <c r="D80" s="11" t="s">
        <v>17</v>
      </c>
      <c r="E80" s="11" t="s">
        <v>22</v>
      </c>
      <c r="F80" s="11" t="s">
        <v>92</v>
      </c>
      <c r="G80" s="11" t="n">
        <v>3</v>
      </c>
      <c r="H80" s="12" t="n">
        <v>80</v>
      </c>
      <c r="I80" s="12" t="n">
        <f aca="false">G80*H80</f>
        <v>240</v>
      </c>
    </row>
    <row r="81" customFormat="false" ht="15" hidden="false" customHeight="false" outlineLevel="0" collapsed="false">
      <c r="A81" s="11" t="s">
        <v>155</v>
      </c>
      <c r="B81" s="18" t="n">
        <v>46238</v>
      </c>
      <c r="C81" s="11" t="s">
        <v>45</v>
      </c>
      <c r="D81" s="11" t="s">
        <v>17</v>
      </c>
      <c r="E81" s="11" t="s">
        <v>22</v>
      </c>
      <c r="F81" s="11" t="s">
        <v>61</v>
      </c>
      <c r="G81" s="11" t="n">
        <v>9</v>
      </c>
      <c r="H81" s="12" t="n">
        <v>25</v>
      </c>
      <c r="I81" s="12" t="n">
        <f aca="false">G81*H81</f>
        <v>225</v>
      </c>
    </row>
    <row r="82" customFormat="false" ht="15" hidden="false" customHeight="false" outlineLevel="0" collapsed="false">
      <c r="A82" s="11" t="s">
        <v>156</v>
      </c>
      <c r="B82" s="18" t="n">
        <v>46048</v>
      </c>
      <c r="C82" s="11" t="s">
        <v>90</v>
      </c>
      <c r="D82" s="11" t="s">
        <v>16</v>
      </c>
      <c r="E82" s="11" t="s">
        <v>23</v>
      </c>
      <c r="F82" s="11" t="s">
        <v>66</v>
      </c>
      <c r="G82" s="11" t="n">
        <v>4</v>
      </c>
      <c r="H82" s="12" t="n">
        <v>340</v>
      </c>
      <c r="I82" s="12" t="n">
        <f aca="false">G82*H82</f>
        <v>1360</v>
      </c>
    </row>
    <row r="83" customFormat="false" ht="15" hidden="false" customHeight="false" outlineLevel="0" collapsed="false">
      <c r="A83" s="11" t="s">
        <v>157</v>
      </c>
      <c r="B83" s="18" t="n">
        <v>46125</v>
      </c>
      <c r="C83" s="11" t="s">
        <v>58</v>
      </c>
      <c r="D83" s="11" t="s">
        <v>17</v>
      </c>
      <c r="E83" s="11" t="s">
        <v>23</v>
      </c>
      <c r="F83" s="11" t="s">
        <v>97</v>
      </c>
      <c r="G83" s="11" t="n">
        <v>5</v>
      </c>
      <c r="H83" s="12" t="n">
        <v>35</v>
      </c>
      <c r="I83" s="12" t="n">
        <f aca="false">G83*H83</f>
        <v>175</v>
      </c>
    </row>
    <row r="84" customFormat="false" ht="15" hidden="false" customHeight="false" outlineLevel="0" collapsed="false">
      <c r="A84" s="11" t="s">
        <v>158</v>
      </c>
      <c r="B84" s="18" t="n">
        <v>46037</v>
      </c>
      <c r="C84" s="11" t="s">
        <v>90</v>
      </c>
      <c r="D84" s="11" t="s">
        <v>17</v>
      </c>
      <c r="E84" s="11" t="s">
        <v>22</v>
      </c>
      <c r="F84" s="11" t="s">
        <v>51</v>
      </c>
      <c r="G84" s="11" t="n">
        <v>7</v>
      </c>
      <c r="H84" s="12" t="n">
        <v>30</v>
      </c>
      <c r="I84" s="12" t="n">
        <f aca="false">G84*H84</f>
        <v>210</v>
      </c>
    </row>
    <row r="85" customFormat="false" ht="15" hidden="false" customHeight="false" outlineLevel="0" collapsed="false">
      <c r="A85" s="11" t="s">
        <v>159</v>
      </c>
      <c r="B85" s="18" t="n">
        <v>46188</v>
      </c>
      <c r="C85" s="11" t="s">
        <v>114</v>
      </c>
      <c r="D85" s="11" t="s">
        <v>15</v>
      </c>
      <c r="E85" s="11" t="s">
        <v>23</v>
      </c>
      <c r="F85" s="11" t="s">
        <v>43</v>
      </c>
      <c r="G85" s="11" t="n">
        <v>5</v>
      </c>
      <c r="H85" s="12" t="n">
        <v>120</v>
      </c>
      <c r="I85" s="12" t="n">
        <f aca="false">G85*H85</f>
        <v>600</v>
      </c>
    </row>
    <row r="86" customFormat="false" ht="15" hidden="false" customHeight="false" outlineLevel="0" collapsed="false">
      <c r="A86" s="11" t="s">
        <v>160</v>
      </c>
      <c r="B86" s="18" t="n">
        <v>46055</v>
      </c>
      <c r="C86" s="11" t="s">
        <v>139</v>
      </c>
      <c r="D86" s="11" t="s">
        <v>16</v>
      </c>
      <c r="E86" s="11" t="s">
        <v>24</v>
      </c>
      <c r="F86" s="11" t="s">
        <v>54</v>
      </c>
      <c r="G86" s="11" t="n">
        <v>6</v>
      </c>
      <c r="H86" s="12" t="n">
        <v>12</v>
      </c>
      <c r="I86" s="12" t="n">
        <f aca="false">G86*H86</f>
        <v>72</v>
      </c>
    </row>
    <row r="87" customFormat="false" ht="15" hidden="false" customHeight="false" outlineLevel="0" collapsed="false">
      <c r="A87" s="11" t="s">
        <v>161</v>
      </c>
      <c r="B87" s="18" t="n">
        <v>46250</v>
      </c>
      <c r="C87" s="11" t="s">
        <v>90</v>
      </c>
      <c r="D87" s="11" t="s">
        <v>18</v>
      </c>
      <c r="E87" s="11" t="s">
        <v>22</v>
      </c>
      <c r="F87" s="11" t="s">
        <v>51</v>
      </c>
      <c r="G87" s="11" t="n">
        <v>5</v>
      </c>
      <c r="H87" s="12" t="n">
        <v>30</v>
      </c>
      <c r="I87" s="12" t="n">
        <f aca="false">G87*H87</f>
        <v>150</v>
      </c>
    </row>
    <row r="88" customFormat="false" ht="15" hidden="false" customHeight="false" outlineLevel="0" collapsed="false">
      <c r="A88" s="11" t="s">
        <v>162</v>
      </c>
      <c r="B88" s="18" t="n">
        <v>46144</v>
      </c>
      <c r="C88" s="11" t="s">
        <v>40</v>
      </c>
      <c r="D88" s="11" t="s">
        <v>15</v>
      </c>
      <c r="E88" s="11" t="s">
        <v>23</v>
      </c>
      <c r="F88" s="11" t="s">
        <v>38</v>
      </c>
      <c r="G88" s="11" t="n">
        <v>7</v>
      </c>
      <c r="H88" s="12" t="n">
        <v>150</v>
      </c>
      <c r="I88" s="12" t="n">
        <f aca="false">G88*H88</f>
        <v>1050</v>
      </c>
    </row>
    <row r="89" customFormat="false" ht="15" hidden="false" customHeight="false" outlineLevel="0" collapsed="false">
      <c r="A89" s="11" t="s">
        <v>163</v>
      </c>
      <c r="B89" s="18" t="n">
        <v>46129</v>
      </c>
      <c r="C89" s="11" t="s">
        <v>83</v>
      </c>
      <c r="D89" s="11" t="s">
        <v>18</v>
      </c>
      <c r="E89" s="11" t="s">
        <v>23</v>
      </c>
      <c r="F89" s="11" t="s">
        <v>38</v>
      </c>
      <c r="G89" s="11" t="n">
        <v>9</v>
      </c>
      <c r="H89" s="12" t="n">
        <v>150</v>
      </c>
      <c r="I89" s="12" t="n">
        <f aca="false">G89*H89</f>
        <v>1350</v>
      </c>
    </row>
    <row r="90" customFormat="false" ht="15" hidden="false" customHeight="false" outlineLevel="0" collapsed="false">
      <c r="A90" s="11" t="s">
        <v>164</v>
      </c>
      <c r="B90" s="18" t="n">
        <v>46207</v>
      </c>
      <c r="C90" s="11" t="s">
        <v>88</v>
      </c>
      <c r="D90" s="11" t="s">
        <v>18</v>
      </c>
      <c r="E90" s="11" t="s">
        <v>23</v>
      </c>
      <c r="F90" s="11" t="s">
        <v>66</v>
      </c>
      <c r="G90" s="11" t="n">
        <v>6</v>
      </c>
      <c r="H90" s="12" t="n">
        <v>340</v>
      </c>
      <c r="I90" s="12" t="n">
        <f aca="false">G90*H90</f>
        <v>2040</v>
      </c>
    </row>
    <row r="91" customFormat="false" ht="15" hidden="false" customHeight="false" outlineLevel="0" collapsed="false">
      <c r="A91" s="11" t="s">
        <v>165</v>
      </c>
      <c r="B91" s="18" t="n">
        <v>46166</v>
      </c>
      <c r="C91" s="11" t="s">
        <v>75</v>
      </c>
      <c r="D91" s="11" t="s">
        <v>16</v>
      </c>
      <c r="E91" s="11" t="s">
        <v>24</v>
      </c>
      <c r="F91" s="11" t="s">
        <v>46</v>
      </c>
      <c r="G91" s="11" t="n">
        <v>7</v>
      </c>
      <c r="H91" s="12" t="n">
        <v>15</v>
      </c>
      <c r="I91" s="12" t="n">
        <f aca="false">G91*H91</f>
        <v>105</v>
      </c>
    </row>
    <row r="92" customFormat="false" ht="15" hidden="false" customHeight="false" outlineLevel="0" collapsed="false">
      <c r="A92" s="11" t="s">
        <v>166</v>
      </c>
      <c r="B92" s="18" t="n">
        <v>46085</v>
      </c>
      <c r="C92" s="11" t="s">
        <v>90</v>
      </c>
      <c r="D92" s="11" t="s">
        <v>18</v>
      </c>
      <c r="E92" s="11" t="s">
        <v>22</v>
      </c>
      <c r="F92" s="11" t="s">
        <v>64</v>
      </c>
      <c r="G92" s="11" t="n">
        <v>5</v>
      </c>
      <c r="H92" s="12" t="n">
        <v>45</v>
      </c>
      <c r="I92" s="12" t="n">
        <f aca="false">G92*H92</f>
        <v>225</v>
      </c>
    </row>
    <row r="93" customFormat="false" ht="15" hidden="false" customHeight="false" outlineLevel="0" collapsed="false">
      <c r="A93" s="11" t="s">
        <v>167</v>
      </c>
      <c r="B93" s="18" t="n">
        <v>46264</v>
      </c>
      <c r="C93" s="11" t="s">
        <v>99</v>
      </c>
      <c r="D93" s="11" t="s">
        <v>15</v>
      </c>
      <c r="E93" s="11" t="s">
        <v>24</v>
      </c>
      <c r="F93" s="11" t="s">
        <v>54</v>
      </c>
      <c r="G93" s="11" t="n">
        <v>4</v>
      </c>
      <c r="H93" s="12" t="n">
        <v>12</v>
      </c>
      <c r="I93" s="12" t="n">
        <f aca="false">G93*H93</f>
        <v>48</v>
      </c>
    </row>
    <row r="94" customFormat="false" ht="15" hidden="false" customHeight="false" outlineLevel="0" collapsed="false">
      <c r="A94" s="11" t="s">
        <v>168</v>
      </c>
      <c r="B94" s="18" t="n">
        <v>46112</v>
      </c>
      <c r="C94" s="11" t="s">
        <v>68</v>
      </c>
      <c r="D94" s="11" t="s">
        <v>16</v>
      </c>
      <c r="E94" s="11" t="s">
        <v>22</v>
      </c>
      <c r="F94" s="11" t="s">
        <v>64</v>
      </c>
      <c r="G94" s="11" t="n">
        <v>7</v>
      </c>
      <c r="H94" s="12" t="n">
        <v>45</v>
      </c>
      <c r="I94" s="12" t="n">
        <f aca="false">G94*H94</f>
        <v>315</v>
      </c>
    </row>
    <row r="95" customFormat="false" ht="15" hidden="false" customHeight="false" outlineLevel="0" collapsed="false">
      <c r="A95" s="11" t="s">
        <v>169</v>
      </c>
      <c r="B95" s="18" t="n">
        <v>46043</v>
      </c>
      <c r="C95" s="11" t="s">
        <v>79</v>
      </c>
      <c r="D95" s="11" t="s">
        <v>17</v>
      </c>
      <c r="E95" s="11" t="s">
        <v>24</v>
      </c>
      <c r="F95" s="11" t="s">
        <v>59</v>
      </c>
      <c r="G95" s="11" t="n">
        <v>7</v>
      </c>
      <c r="H95" s="12" t="n">
        <v>9</v>
      </c>
      <c r="I95" s="12" t="n">
        <f aca="false">G95*H95</f>
        <v>63</v>
      </c>
    </row>
    <row r="96" customFormat="false" ht="15" hidden="false" customHeight="false" outlineLevel="0" collapsed="false">
      <c r="A96" s="11" t="s">
        <v>170</v>
      </c>
      <c r="B96" s="18" t="n">
        <v>46189</v>
      </c>
      <c r="C96" s="11" t="s">
        <v>48</v>
      </c>
      <c r="D96" s="11" t="s">
        <v>16</v>
      </c>
      <c r="E96" s="11" t="s">
        <v>22</v>
      </c>
      <c r="F96" s="11" t="s">
        <v>61</v>
      </c>
      <c r="G96" s="11" t="n">
        <v>6</v>
      </c>
      <c r="H96" s="12" t="n">
        <v>25</v>
      </c>
      <c r="I96" s="12" t="n">
        <f aca="false">G96*H96</f>
        <v>150</v>
      </c>
    </row>
    <row r="97" customFormat="false" ht="15" hidden="false" customHeight="false" outlineLevel="0" collapsed="false">
      <c r="A97" s="11" t="s">
        <v>171</v>
      </c>
      <c r="B97" s="18" t="n">
        <v>46029</v>
      </c>
      <c r="C97" s="11" t="s">
        <v>83</v>
      </c>
      <c r="D97" s="11" t="s">
        <v>16</v>
      </c>
      <c r="E97" s="11" t="s">
        <v>22</v>
      </c>
      <c r="F97" s="11" t="s">
        <v>61</v>
      </c>
      <c r="G97" s="11" t="n">
        <v>2</v>
      </c>
      <c r="H97" s="12" t="n">
        <v>25</v>
      </c>
      <c r="I97" s="12" t="n">
        <f aca="false">G97*H97</f>
        <v>50</v>
      </c>
    </row>
    <row r="98" customFormat="false" ht="15" hidden="false" customHeight="false" outlineLevel="0" collapsed="false">
      <c r="A98" s="11" t="s">
        <v>172</v>
      </c>
      <c r="B98" s="18" t="n">
        <v>46049</v>
      </c>
      <c r="C98" s="11" t="s">
        <v>141</v>
      </c>
      <c r="D98" s="11" t="s">
        <v>17</v>
      </c>
      <c r="E98" s="11" t="s">
        <v>24</v>
      </c>
      <c r="F98" s="11" t="s">
        <v>56</v>
      </c>
      <c r="G98" s="11" t="n">
        <v>3</v>
      </c>
      <c r="H98" s="12" t="n">
        <v>7</v>
      </c>
      <c r="I98" s="12" t="n">
        <f aca="false">G98*H98</f>
        <v>21</v>
      </c>
    </row>
    <row r="99" customFormat="false" ht="15" hidden="false" customHeight="false" outlineLevel="0" collapsed="false">
      <c r="A99" s="11" t="s">
        <v>173</v>
      </c>
      <c r="B99" s="18" t="n">
        <v>46235</v>
      </c>
      <c r="C99" s="11" t="s">
        <v>114</v>
      </c>
      <c r="D99" s="11" t="s">
        <v>15</v>
      </c>
      <c r="E99" s="11" t="s">
        <v>24</v>
      </c>
      <c r="F99" s="11" t="s">
        <v>119</v>
      </c>
      <c r="G99" s="11" t="n">
        <v>7</v>
      </c>
      <c r="H99" s="12" t="n">
        <v>6</v>
      </c>
      <c r="I99" s="12" t="n">
        <f aca="false">G99*H99</f>
        <v>42</v>
      </c>
    </row>
    <row r="100" customFormat="false" ht="15" hidden="false" customHeight="false" outlineLevel="0" collapsed="false">
      <c r="A100" s="11" t="s">
        <v>174</v>
      </c>
      <c r="B100" s="18" t="n">
        <v>46033</v>
      </c>
      <c r="C100" s="11" t="s">
        <v>50</v>
      </c>
      <c r="D100" s="11" t="s">
        <v>15</v>
      </c>
      <c r="E100" s="11" t="s">
        <v>24</v>
      </c>
      <c r="F100" s="11" t="s">
        <v>119</v>
      </c>
      <c r="G100" s="11" t="n">
        <v>8</v>
      </c>
      <c r="H100" s="12" t="n">
        <v>6</v>
      </c>
      <c r="I100" s="12" t="n">
        <f aca="false">G100*H100</f>
        <v>48</v>
      </c>
    </row>
    <row r="101" customFormat="false" ht="15" hidden="false" customHeight="false" outlineLevel="0" collapsed="false">
      <c r="A101" s="11" t="s">
        <v>175</v>
      </c>
      <c r="B101" s="18" t="n">
        <v>46121</v>
      </c>
      <c r="C101" s="11" t="s">
        <v>68</v>
      </c>
      <c r="D101" s="11" t="s">
        <v>15</v>
      </c>
      <c r="E101" s="11" t="s">
        <v>22</v>
      </c>
      <c r="F101" s="11" t="s">
        <v>61</v>
      </c>
      <c r="G101" s="11" t="n">
        <v>7</v>
      </c>
      <c r="H101" s="12" t="n">
        <v>25</v>
      </c>
      <c r="I101" s="12" t="n">
        <f aca="false">G101*H101</f>
        <v>175</v>
      </c>
    </row>
    <row r="102" customFormat="false" ht="15" hidden="false" customHeight="false" outlineLevel="0" collapsed="false">
      <c r="A102" s="11" t="s">
        <v>176</v>
      </c>
      <c r="B102" s="18" t="n">
        <v>46177</v>
      </c>
      <c r="C102" s="11" t="s">
        <v>141</v>
      </c>
      <c r="D102" s="11" t="s">
        <v>15</v>
      </c>
      <c r="E102" s="11" t="s">
        <v>24</v>
      </c>
      <c r="F102" s="11" t="s">
        <v>59</v>
      </c>
      <c r="G102" s="11" t="n">
        <v>2</v>
      </c>
      <c r="H102" s="12" t="n">
        <v>9</v>
      </c>
      <c r="I102" s="12" t="n">
        <f aca="false">G102*H102</f>
        <v>18</v>
      </c>
    </row>
    <row r="103" customFormat="false" ht="15" hidden="false" customHeight="false" outlineLevel="0" collapsed="false">
      <c r="A103" s="11" t="s">
        <v>177</v>
      </c>
      <c r="B103" s="18" t="n">
        <v>46262</v>
      </c>
      <c r="C103" s="11" t="s">
        <v>83</v>
      </c>
      <c r="D103" s="11" t="s">
        <v>17</v>
      </c>
      <c r="E103" s="11" t="s">
        <v>22</v>
      </c>
      <c r="F103" s="11" t="s">
        <v>35</v>
      </c>
      <c r="G103" s="11" t="n">
        <v>4</v>
      </c>
      <c r="H103" s="12" t="n">
        <v>220</v>
      </c>
      <c r="I103" s="12" t="n">
        <f aca="false">G103*H103</f>
        <v>880</v>
      </c>
    </row>
    <row r="104" customFormat="false" ht="15" hidden="false" customHeight="false" outlineLevel="0" collapsed="false">
      <c r="A104" s="11" t="s">
        <v>178</v>
      </c>
      <c r="B104" s="18" t="n">
        <v>46162</v>
      </c>
      <c r="C104" s="11" t="s">
        <v>114</v>
      </c>
      <c r="D104" s="11" t="s">
        <v>18</v>
      </c>
      <c r="E104" s="11" t="s">
        <v>22</v>
      </c>
      <c r="F104" s="11" t="s">
        <v>64</v>
      </c>
      <c r="G104" s="11" t="n">
        <v>5</v>
      </c>
      <c r="H104" s="12" t="n">
        <v>45</v>
      </c>
      <c r="I104" s="12" t="n">
        <f aca="false">G104*H104</f>
        <v>225</v>
      </c>
    </row>
    <row r="105" customFormat="false" ht="15" hidden="false" customHeight="false" outlineLevel="0" collapsed="false">
      <c r="A105" s="11" t="s">
        <v>179</v>
      </c>
      <c r="B105" s="18" t="n">
        <v>46133</v>
      </c>
      <c r="C105" s="11" t="s">
        <v>58</v>
      </c>
      <c r="D105" s="11" t="s">
        <v>16</v>
      </c>
      <c r="E105" s="11" t="s">
        <v>23</v>
      </c>
      <c r="F105" s="11" t="s">
        <v>97</v>
      </c>
      <c r="G105" s="11" t="n">
        <v>8</v>
      </c>
      <c r="H105" s="12" t="n">
        <v>35</v>
      </c>
      <c r="I105" s="12" t="n">
        <f aca="false">G105*H105</f>
        <v>280</v>
      </c>
    </row>
    <row r="106" customFormat="false" ht="15" hidden="false" customHeight="false" outlineLevel="0" collapsed="false">
      <c r="A106" s="11" t="s">
        <v>180</v>
      </c>
      <c r="B106" s="18" t="n">
        <v>46162</v>
      </c>
      <c r="C106" s="11" t="s">
        <v>90</v>
      </c>
      <c r="D106" s="11" t="s">
        <v>16</v>
      </c>
      <c r="E106" s="11" t="s">
        <v>24</v>
      </c>
      <c r="F106" s="11" t="s">
        <v>56</v>
      </c>
      <c r="G106" s="11" t="n">
        <v>4</v>
      </c>
      <c r="H106" s="12" t="n">
        <v>7</v>
      </c>
      <c r="I106" s="12" t="n">
        <f aca="false">G106*H106</f>
        <v>28</v>
      </c>
    </row>
    <row r="107" customFormat="false" ht="15" hidden="false" customHeight="false" outlineLevel="0" collapsed="false">
      <c r="A107" s="11" t="s">
        <v>181</v>
      </c>
      <c r="B107" s="18" t="n">
        <v>46194</v>
      </c>
      <c r="C107" s="11" t="s">
        <v>90</v>
      </c>
      <c r="D107" s="11" t="s">
        <v>16</v>
      </c>
      <c r="E107" s="11" t="s">
        <v>22</v>
      </c>
      <c r="F107" s="11" t="s">
        <v>61</v>
      </c>
      <c r="G107" s="11" t="n">
        <v>7</v>
      </c>
      <c r="H107" s="12" t="n">
        <v>25</v>
      </c>
      <c r="I107" s="12" t="n">
        <f aca="false">G107*H107</f>
        <v>175</v>
      </c>
    </row>
    <row r="108" customFormat="false" ht="15" hidden="false" customHeight="false" outlineLevel="0" collapsed="false">
      <c r="A108" s="11" t="s">
        <v>182</v>
      </c>
      <c r="B108" s="18" t="n">
        <v>46243</v>
      </c>
      <c r="C108" s="11" t="s">
        <v>141</v>
      </c>
      <c r="D108" s="11" t="s">
        <v>17</v>
      </c>
      <c r="E108" s="11" t="s">
        <v>22</v>
      </c>
      <c r="F108" s="11" t="s">
        <v>35</v>
      </c>
      <c r="G108" s="11" t="n">
        <v>9</v>
      </c>
      <c r="H108" s="12" t="n">
        <v>220</v>
      </c>
      <c r="I108" s="12" t="n">
        <f aca="false">G108*H108</f>
        <v>1980</v>
      </c>
    </row>
    <row r="109" customFormat="false" ht="15" hidden="false" customHeight="false" outlineLevel="0" collapsed="false">
      <c r="A109" s="11" t="s">
        <v>183</v>
      </c>
      <c r="B109" s="18" t="n">
        <v>46048</v>
      </c>
      <c r="C109" s="11" t="s">
        <v>75</v>
      </c>
      <c r="D109" s="11" t="s">
        <v>15</v>
      </c>
      <c r="E109" s="11" t="s">
        <v>23</v>
      </c>
      <c r="F109" s="11" t="s">
        <v>43</v>
      </c>
      <c r="G109" s="11" t="n">
        <v>1</v>
      </c>
      <c r="H109" s="12" t="n">
        <v>120</v>
      </c>
      <c r="I109" s="12" t="n">
        <f aca="false">G109*H109</f>
        <v>120</v>
      </c>
    </row>
    <row r="110" customFormat="false" ht="15" hidden="false" customHeight="false" outlineLevel="0" collapsed="false">
      <c r="A110" s="11" t="s">
        <v>184</v>
      </c>
      <c r="B110" s="18" t="n">
        <v>46037</v>
      </c>
      <c r="C110" s="11" t="s">
        <v>136</v>
      </c>
      <c r="D110" s="11" t="s">
        <v>15</v>
      </c>
      <c r="E110" s="11" t="s">
        <v>24</v>
      </c>
      <c r="F110" s="11" t="s">
        <v>119</v>
      </c>
      <c r="G110" s="11" t="n">
        <v>4</v>
      </c>
      <c r="H110" s="12" t="n">
        <v>6</v>
      </c>
      <c r="I110" s="12" t="n">
        <f aca="false">G110*H110</f>
        <v>24</v>
      </c>
    </row>
    <row r="111" customFormat="false" ht="15" hidden="false" customHeight="false" outlineLevel="0" collapsed="false">
      <c r="A111" s="11" t="s">
        <v>185</v>
      </c>
      <c r="B111" s="18" t="n">
        <v>46106</v>
      </c>
      <c r="C111" s="11" t="s">
        <v>83</v>
      </c>
      <c r="D111" s="11" t="s">
        <v>17</v>
      </c>
      <c r="E111" s="11" t="s">
        <v>22</v>
      </c>
      <c r="F111" s="11" t="s">
        <v>92</v>
      </c>
      <c r="G111" s="11" t="n">
        <v>2</v>
      </c>
      <c r="H111" s="12" t="n">
        <v>80</v>
      </c>
      <c r="I111" s="12" t="n">
        <f aca="false">G111*H111</f>
        <v>160</v>
      </c>
    </row>
    <row r="112" customFormat="false" ht="15" hidden="false" customHeight="false" outlineLevel="0" collapsed="false">
      <c r="A112" s="11" t="s">
        <v>186</v>
      </c>
      <c r="B112" s="18" t="n">
        <v>46218</v>
      </c>
      <c r="C112" s="11" t="s">
        <v>110</v>
      </c>
      <c r="D112" s="11" t="s">
        <v>16</v>
      </c>
      <c r="E112" s="11" t="s">
        <v>24</v>
      </c>
      <c r="F112" s="11" t="s">
        <v>56</v>
      </c>
      <c r="G112" s="11" t="n">
        <v>7</v>
      </c>
      <c r="H112" s="12" t="n">
        <v>7</v>
      </c>
      <c r="I112" s="12" t="n">
        <f aca="false">G112*H112</f>
        <v>49</v>
      </c>
    </row>
    <row r="113" customFormat="false" ht="15" hidden="false" customHeight="false" outlineLevel="0" collapsed="false">
      <c r="A113" s="11" t="s">
        <v>187</v>
      </c>
      <c r="B113" s="18" t="n">
        <v>46085</v>
      </c>
      <c r="C113" s="11" t="s">
        <v>42</v>
      </c>
      <c r="D113" s="11" t="s">
        <v>18</v>
      </c>
      <c r="E113" s="11" t="s">
        <v>23</v>
      </c>
      <c r="F113" s="11" t="s">
        <v>66</v>
      </c>
      <c r="G113" s="11" t="n">
        <v>4</v>
      </c>
      <c r="H113" s="12" t="n">
        <v>340</v>
      </c>
      <c r="I113" s="12" t="n">
        <f aca="false">G113*H113</f>
        <v>1360</v>
      </c>
    </row>
    <row r="114" customFormat="false" ht="15" hidden="false" customHeight="false" outlineLevel="0" collapsed="false">
      <c r="A114" s="11" t="s">
        <v>188</v>
      </c>
      <c r="B114" s="18" t="n">
        <v>46086</v>
      </c>
      <c r="C114" s="11" t="s">
        <v>40</v>
      </c>
      <c r="D114" s="11" t="s">
        <v>17</v>
      </c>
      <c r="E114" s="11" t="s">
        <v>23</v>
      </c>
      <c r="F114" s="11" t="s">
        <v>97</v>
      </c>
      <c r="G114" s="11" t="n">
        <v>5</v>
      </c>
      <c r="H114" s="12" t="n">
        <v>35</v>
      </c>
      <c r="I114" s="12" t="n">
        <f aca="false">G114*H114</f>
        <v>175</v>
      </c>
    </row>
    <row r="115" customFormat="false" ht="15" hidden="false" customHeight="false" outlineLevel="0" collapsed="false">
      <c r="A115" s="11" t="s">
        <v>189</v>
      </c>
      <c r="B115" s="18" t="n">
        <v>46181</v>
      </c>
      <c r="C115" s="11" t="s">
        <v>45</v>
      </c>
      <c r="D115" s="11" t="s">
        <v>17</v>
      </c>
      <c r="E115" s="11" t="s">
        <v>24</v>
      </c>
      <c r="F115" s="11" t="s">
        <v>54</v>
      </c>
      <c r="G115" s="11" t="n">
        <v>10</v>
      </c>
      <c r="H115" s="12" t="n">
        <v>12</v>
      </c>
      <c r="I115" s="12" t="n">
        <f aca="false">G115*H115</f>
        <v>120</v>
      </c>
    </row>
    <row r="116" customFormat="false" ht="15" hidden="false" customHeight="false" outlineLevel="0" collapsed="false">
      <c r="A116" s="11" t="s">
        <v>190</v>
      </c>
      <c r="B116" s="18" t="n">
        <v>46251</v>
      </c>
      <c r="C116" s="11" t="s">
        <v>139</v>
      </c>
      <c r="D116" s="11" t="s">
        <v>15</v>
      </c>
      <c r="E116" s="11" t="s">
        <v>24</v>
      </c>
      <c r="F116" s="11" t="s">
        <v>119</v>
      </c>
      <c r="G116" s="11" t="n">
        <v>5</v>
      </c>
      <c r="H116" s="12" t="n">
        <v>6</v>
      </c>
      <c r="I116" s="12" t="n">
        <f aca="false">G116*H116</f>
        <v>30</v>
      </c>
    </row>
    <row r="117" customFormat="false" ht="15" hidden="false" customHeight="false" outlineLevel="0" collapsed="false">
      <c r="A117" s="11" t="s">
        <v>191</v>
      </c>
      <c r="B117" s="18" t="n">
        <v>46079</v>
      </c>
      <c r="C117" s="11" t="s">
        <v>88</v>
      </c>
      <c r="D117" s="11" t="s">
        <v>15</v>
      </c>
      <c r="E117" s="11" t="s">
        <v>24</v>
      </c>
      <c r="F117" s="11" t="s">
        <v>119</v>
      </c>
      <c r="G117" s="11" t="n">
        <v>8</v>
      </c>
      <c r="H117" s="12" t="n">
        <v>6</v>
      </c>
      <c r="I117" s="12" t="n">
        <f aca="false">G117*H117</f>
        <v>48</v>
      </c>
    </row>
    <row r="118" customFormat="false" ht="15" hidden="false" customHeight="false" outlineLevel="0" collapsed="false">
      <c r="A118" s="11" t="s">
        <v>192</v>
      </c>
      <c r="B118" s="18" t="n">
        <v>46083</v>
      </c>
      <c r="C118" s="11" t="s">
        <v>141</v>
      </c>
      <c r="D118" s="11" t="s">
        <v>15</v>
      </c>
      <c r="E118" s="11" t="s">
        <v>23</v>
      </c>
      <c r="F118" s="11" t="s">
        <v>66</v>
      </c>
      <c r="G118" s="11" t="n">
        <v>6</v>
      </c>
      <c r="H118" s="12" t="n">
        <v>340</v>
      </c>
      <c r="I118" s="12" t="n">
        <f aca="false">G118*H118</f>
        <v>2040</v>
      </c>
    </row>
    <row r="119" customFormat="false" ht="15" hidden="false" customHeight="false" outlineLevel="0" collapsed="false">
      <c r="A119" s="11" t="s">
        <v>193</v>
      </c>
      <c r="B119" s="18" t="n">
        <v>46133</v>
      </c>
      <c r="C119" s="11" t="s">
        <v>114</v>
      </c>
      <c r="D119" s="11" t="s">
        <v>15</v>
      </c>
      <c r="E119" s="11" t="s">
        <v>23</v>
      </c>
      <c r="F119" s="11" t="s">
        <v>97</v>
      </c>
      <c r="G119" s="11" t="n">
        <v>5</v>
      </c>
      <c r="H119" s="12" t="n">
        <v>35</v>
      </c>
      <c r="I119" s="12" t="n">
        <f aca="false">G119*H119</f>
        <v>175</v>
      </c>
    </row>
    <row r="120" customFormat="false" ht="15" hidden="false" customHeight="false" outlineLevel="0" collapsed="false">
      <c r="A120" s="11" t="s">
        <v>194</v>
      </c>
      <c r="B120" s="18" t="n">
        <v>46051</v>
      </c>
      <c r="C120" s="11" t="s">
        <v>34</v>
      </c>
      <c r="D120" s="11" t="s">
        <v>17</v>
      </c>
      <c r="E120" s="11" t="s">
        <v>23</v>
      </c>
      <c r="F120" s="11" t="s">
        <v>66</v>
      </c>
      <c r="G120" s="11" t="n">
        <v>8</v>
      </c>
      <c r="H120" s="12" t="n">
        <v>340</v>
      </c>
      <c r="I120" s="12" t="n">
        <f aca="false">G120*H120</f>
        <v>2720</v>
      </c>
    </row>
    <row r="121" customFormat="false" ht="15" hidden="false" customHeight="false" outlineLevel="0" collapsed="false">
      <c r="A121" s="11" t="s">
        <v>195</v>
      </c>
      <c r="B121" s="18" t="n">
        <v>46090</v>
      </c>
      <c r="C121" s="11" t="s">
        <v>141</v>
      </c>
      <c r="D121" s="11" t="s">
        <v>17</v>
      </c>
      <c r="E121" s="11" t="s">
        <v>24</v>
      </c>
      <c r="F121" s="11" t="s">
        <v>46</v>
      </c>
      <c r="G121" s="11" t="n">
        <v>9</v>
      </c>
      <c r="H121" s="12" t="n">
        <v>15</v>
      </c>
      <c r="I121" s="12" t="n">
        <f aca="false">G121*H121</f>
        <v>135</v>
      </c>
    </row>
    <row r="122" customFormat="false" ht="15" hidden="false" customHeight="false" outlineLevel="0" collapsed="false">
      <c r="A122" s="11" t="s">
        <v>196</v>
      </c>
      <c r="B122" s="18" t="n">
        <v>46071</v>
      </c>
      <c r="C122" s="11" t="s">
        <v>37</v>
      </c>
      <c r="D122" s="11" t="s">
        <v>18</v>
      </c>
      <c r="E122" s="11" t="s">
        <v>23</v>
      </c>
      <c r="F122" s="11" t="s">
        <v>66</v>
      </c>
      <c r="G122" s="11" t="n">
        <v>2</v>
      </c>
      <c r="H122" s="12" t="n">
        <v>340</v>
      </c>
      <c r="I122" s="12" t="n">
        <f aca="false">G122*H122</f>
        <v>680</v>
      </c>
    </row>
    <row r="123" customFormat="false" ht="15" hidden="false" customHeight="false" outlineLevel="0" collapsed="false">
      <c r="A123" s="11" t="s">
        <v>197</v>
      </c>
      <c r="B123" s="18" t="n">
        <v>46218</v>
      </c>
      <c r="C123" s="11" t="s">
        <v>34</v>
      </c>
      <c r="D123" s="11" t="s">
        <v>17</v>
      </c>
      <c r="E123" s="11" t="s">
        <v>23</v>
      </c>
      <c r="F123" s="11" t="s">
        <v>38</v>
      </c>
      <c r="G123" s="11" t="n">
        <v>5</v>
      </c>
      <c r="H123" s="12" t="n">
        <v>150</v>
      </c>
      <c r="I123" s="12" t="n">
        <f aca="false">G123*H123</f>
        <v>750</v>
      </c>
    </row>
    <row r="124" customFormat="false" ht="15" hidden="false" customHeight="false" outlineLevel="0" collapsed="false">
      <c r="A124" s="11" t="s">
        <v>198</v>
      </c>
      <c r="B124" s="18" t="n">
        <v>46066</v>
      </c>
      <c r="C124" s="11" t="s">
        <v>34</v>
      </c>
      <c r="D124" s="11" t="s">
        <v>16</v>
      </c>
      <c r="E124" s="11" t="s">
        <v>24</v>
      </c>
      <c r="F124" s="11" t="s">
        <v>59</v>
      </c>
      <c r="G124" s="11" t="n">
        <v>3</v>
      </c>
      <c r="H124" s="12" t="n">
        <v>9</v>
      </c>
      <c r="I124" s="12" t="n">
        <f aca="false">G124*H124</f>
        <v>27</v>
      </c>
    </row>
    <row r="125" customFormat="false" ht="15" hidden="false" customHeight="false" outlineLevel="0" collapsed="false">
      <c r="A125" s="11" t="s">
        <v>199</v>
      </c>
      <c r="B125" s="18" t="n">
        <v>46125</v>
      </c>
      <c r="C125" s="11" t="s">
        <v>71</v>
      </c>
      <c r="D125" s="11" t="s">
        <v>18</v>
      </c>
      <c r="E125" s="11" t="s">
        <v>22</v>
      </c>
      <c r="F125" s="11" t="s">
        <v>51</v>
      </c>
      <c r="G125" s="11" t="n">
        <v>10</v>
      </c>
      <c r="H125" s="12" t="n">
        <v>30</v>
      </c>
      <c r="I125" s="12" t="n">
        <f aca="false">G125*H125</f>
        <v>300</v>
      </c>
    </row>
    <row r="126" customFormat="false" ht="15" hidden="false" customHeight="false" outlineLevel="0" collapsed="false">
      <c r="A126" s="11" t="s">
        <v>200</v>
      </c>
      <c r="B126" s="18" t="n">
        <v>46183</v>
      </c>
      <c r="C126" s="11" t="s">
        <v>114</v>
      </c>
      <c r="D126" s="11" t="s">
        <v>15</v>
      </c>
      <c r="E126" s="11" t="s">
        <v>23</v>
      </c>
      <c r="F126" s="11" t="s">
        <v>66</v>
      </c>
      <c r="G126" s="11" t="n">
        <v>7</v>
      </c>
      <c r="H126" s="12" t="n">
        <v>340</v>
      </c>
      <c r="I126" s="12" t="n">
        <f aca="false">G126*H126</f>
        <v>2380</v>
      </c>
    </row>
    <row r="127" customFormat="false" ht="15" hidden="false" customHeight="false" outlineLevel="0" collapsed="false">
      <c r="A127" s="11" t="s">
        <v>201</v>
      </c>
      <c r="B127" s="18" t="n">
        <v>46268</v>
      </c>
      <c r="C127" s="11" t="s">
        <v>141</v>
      </c>
      <c r="D127" s="11" t="s">
        <v>15</v>
      </c>
      <c r="E127" s="11" t="s">
        <v>22</v>
      </c>
      <c r="F127" s="11" t="s">
        <v>35</v>
      </c>
      <c r="G127" s="11" t="n">
        <v>9</v>
      </c>
      <c r="H127" s="12" t="n">
        <v>220</v>
      </c>
      <c r="I127" s="12" t="n">
        <f aca="false">G127*H127</f>
        <v>1980</v>
      </c>
    </row>
    <row r="128" customFormat="false" ht="15" hidden="false" customHeight="false" outlineLevel="0" collapsed="false">
      <c r="A128" s="11" t="s">
        <v>202</v>
      </c>
      <c r="B128" s="18" t="n">
        <v>46229</v>
      </c>
      <c r="C128" s="11" t="s">
        <v>37</v>
      </c>
      <c r="D128" s="11" t="s">
        <v>15</v>
      </c>
      <c r="E128" s="11" t="s">
        <v>22</v>
      </c>
      <c r="F128" s="11" t="s">
        <v>51</v>
      </c>
      <c r="G128" s="11" t="n">
        <v>3</v>
      </c>
      <c r="H128" s="12" t="n">
        <v>30</v>
      </c>
      <c r="I128" s="12" t="n">
        <f aca="false">G128*H128</f>
        <v>90</v>
      </c>
    </row>
    <row r="129" customFormat="false" ht="15" hidden="false" customHeight="false" outlineLevel="0" collapsed="false">
      <c r="A129" s="11" t="s">
        <v>203</v>
      </c>
      <c r="B129" s="18" t="n">
        <v>46182</v>
      </c>
      <c r="C129" s="11" t="s">
        <v>90</v>
      </c>
      <c r="D129" s="11" t="s">
        <v>18</v>
      </c>
      <c r="E129" s="11" t="s">
        <v>24</v>
      </c>
      <c r="F129" s="11" t="s">
        <v>46</v>
      </c>
      <c r="G129" s="11" t="n">
        <v>6</v>
      </c>
      <c r="H129" s="12" t="n">
        <v>15</v>
      </c>
      <c r="I129" s="12" t="n">
        <f aca="false">G129*H129</f>
        <v>90</v>
      </c>
    </row>
    <row r="130" customFormat="false" ht="15" hidden="false" customHeight="false" outlineLevel="0" collapsed="false">
      <c r="A130" s="11" t="s">
        <v>204</v>
      </c>
      <c r="B130" s="18" t="n">
        <v>46157</v>
      </c>
      <c r="C130" s="11" t="s">
        <v>37</v>
      </c>
      <c r="D130" s="11" t="s">
        <v>18</v>
      </c>
      <c r="E130" s="11" t="s">
        <v>24</v>
      </c>
      <c r="F130" s="11" t="s">
        <v>56</v>
      </c>
      <c r="G130" s="11" t="n">
        <v>5</v>
      </c>
      <c r="H130" s="12" t="n">
        <v>7</v>
      </c>
      <c r="I130" s="12" t="n">
        <f aca="false">G130*H130</f>
        <v>35</v>
      </c>
    </row>
    <row r="131" customFormat="false" ht="15" hidden="false" customHeight="false" outlineLevel="0" collapsed="false">
      <c r="A131" s="11" t="s">
        <v>205</v>
      </c>
      <c r="B131" s="18" t="n">
        <v>46255</v>
      </c>
      <c r="C131" s="11" t="s">
        <v>73</v>
      </c>
      <c r="D131" s="11" t="s">
        <v>18</v>
      </c>
      <c r="E131" s="11" t="s">
        <v>22</v>
      </c>
      <c r="F131" s="11" t="s">
        <v>92</v>
      </c>
      <c r="G131" s="11" t="n">
        <v>4</v>
      </c>
      <c r="H131" s="12" t="n">
        <v>80</v>
      </c>
      <c r="I131" s="12" t="n">
        <f aca="false">G131*H131</f>
        <v>320</v>
      </c>
    </row>
    <row r="132" customFormat="false" ht="15" hidden="false" customHeight="false" outlineLevel="0" collapsed="false">
      <c r="A132" s="11" t="s">
        <v>206</v>
      </c>
      <c r="B132" s="18" t="n">
        <v>46252</v>
      </c>
      <c r="C132" s="11" t="s">
        <v>34</v>
      </c>
      <c r="D132" s="11" t="s">
        <v>16</v>
      </c>
      <c r="E132" s="11" t="s">
        <v>24</v>
      </c>
      <c r="F132" s="11" t="s">
        <v>119</v>
      </c>
      <c r="G132" s="11" t="n">
        <v>10</v>
      </c>
      <c r="H132" s="12" t="n">
        <v>6</v>
      </c>
      <c r="I132" s="12" t="n">
        <f aca="false">G132*H132</f>
        <v>60</v>
      </c>
    </row>
    <row r="133" customFormat="false" ht="15" hidden="false" customHeight="false" outlineLevel="0" collapsed="false">
      <c r="A133" s="11" t="s">
        <v>207</v>
      </c>
      <c r="B133" s="18" t="n">
        <v>46089</v>
      </c>
      <c r="C133" s="11" t="s">
        <v>132</v>
      </c>
      <c r="D133" s="11" t="s">
        <v>16</v>
      </c>
      <c r="E133" s="11" t="s">
        <v>22</v>
      </c>
      <c r="F133" s="11" t="s">
        <v>51</v>
      </c>
      <c r="G133" s="11" t="n">
        <v>5</v>
      </c>
      <c r="H133" s="12" t="n">
        <v>30</v>
      </c>
      <c r="I133" s="12" t="n">
        <f aca="false">G133*H133</f>
        <v>150</v>
      </c>
    </row>
    <row r="134" customFormat="false" ht="15" hidden="false" customHeight="false" outlineLevel="0" collapsed="false">
      <c r="A134" s="11" t="s">
        <v>208</v>
      </c>
      <c r="B134" s="18" t="n">
        <v>46085</v>
      </c>
      <c r="C134" s="11" t="s">
        <v>110</v>
      </c>
      <c r="D134" s="11" t="s">
        <v>16</v>
      </c>
      <c r="E134" s="11" t="s">
        <v>22</v>
      </c>
      <c r="F134" s="11" t="s">
        <v>61</v>
      </c>
      <c r="G134" s="11" t="n">
        <v>3</v>
      </c>
      <c r="H134" s="12" t="n">
        <v>25</v>
      </c>
      <c r="I134" s="12" t="n">
        <f aca="false">G134*H134</f>
        <v>75</v>
      </c>
    </row>
    <row r="135" customFormat="false" ht="15" hidden="false" customHeight="false" outlineLevel="0" collapsed="false">
      <c r="A135" s="11" t="s">
        <v>209</v>
      </c>
      <c r="B135" s="18" t="n">
        <v>46271</v>
      </c>
      <c r="C135" s="11" t="s">
        <v>71</v>
      </c>
      <c r="D135" s="11" t="s">
        <v>16</v>
      </c>
      <c r="E135" s="11" t="s">
        <v>22</v>
      </c>
      <c r="F135" s="11" t="s">
        <v>35</v>
      </c>
      <c r="G135" s="11" t="n">
        <v>4</v>
      </c>
      <c r="H135" s="12" t="n">
        <v>220</v>
      </c>
      <c r="I135" s="12" t="n">
        <f aca="false">G135*H135</f>
        <v>880</v>
      </c>
    </row>
    <row r="136" customFormat="false" ht="15" hidden="false" customHeight="false" outlineLevel="0" collapsed="false">
      <c r="A136" s="11" t="s">
        <v>210</v>
      </c>
      <c r="B136" s="18" t="n">
        <v>46042</v>
      </c>
      <c r="C136" s="11" t="s">
        <v>90</v>
      </c>
      <c r="D136" s="11" t="s">
        <v>17</v>
      </c>
      <c r="E136" s="11" t="s">
        <v>24</v>
      </c>
      <c r="F136" s="11" t="s">
        <v>59</v>
      </c>
      <c r="G136" s="11" t="n">
        <v>4</v>
      </c>
      <c r="H136" s="12" t="n">
        <v>9</v>
      </c>
      <c r="I136" s="12" t="n">
        <f aca="false">G136*H136</f>
        <v>36</v>
      </c>
    </row>
    <row r="137" customFormat="false" ht="15" hidden="false" customHeight="false" outlineLevel="0" collapsed="false">
      <c r="A137" s="11" t="s">
        <v>211</v>
      </c>
      <c r="B137" s="18" t="n">
        <v>46234</v>
      </c>
      <c r="C137" s="11" t="s">
        <v>37</v>
      </c>
      <c r="D137" s="11" t="s">
        <v>15</v>
      </c>
      <c r="E137" s="11" t="s">
        <v>22</v>
      </c>
      <c r="F137" s="11" t="s">
        <v>61</v>
      </c>
      <c r="G137" s="11" t="n">
        <v>10</v>
      </c>
      <c r="H137" s="12" t="n">
        <v>25</v>
      </c>
      <c r="I137" s="12" t="n">
        <f aca="false">G137*H137</f>
        <v>250</v>
      </c>
    </row>
    <row r="138" customFormat="false" ht="15" hidden="false" customHeight="false" outlineLevel="0" collapsed="false">
      <c r="A138" s="11" t="s">
        <v>212</v>
      </c>
      <c r="B138" s="18" t="n">
        <v>46138</v>
      </c>
      <c r="C138" s="11" t="s">
        <v>53</v>
      </c>
      <c r="D138" s="11" t="s">
        <v>16</v>
      </c>
      <c r="E138" s="11" t="s">
        <v>22</v>
      </c>
      <c r="F138" s="11" t="s">
        <v>61</v>
      </c>
      <c r="G138" s="11" t="n">
        <v>8</v>
      </c>
      <c r="H138" s="12" t="n">
        <v>25</v>
      </c>
      <c r="I138" s="12" t="n">
        <f aca="false">G138*H138</f>
        <v>200</v>
      </c>
    </row>
    <row r="139" customFormat="false" ht="15" hidden="false" customHeight="false" outlineLevel="0" collapsed="false">
      <c r="A139" s="11" t="s">
        <v>213</v>
      </c>
      <c r="B139" s="18" t="n">
        <v>46106</v>
      </c>
      <c r="C139" s="11" t="s">
        <v>42</v>
      </c>
      <c r="D139" s="11" t="s">
        <v>17</v>
      </c>
      <c r="E139" s="11" t="s">
        <v>23</v>
      </c>
      <c r="F139" s="11" t="s">
        <v>66</v>
      </c>
      <c r="G139" s="11" t="n">
        <v>6</v>
      </c>
      <c r="H139" s="12" t="n">
        <v>340</v>
      </c>
      <c r="I139" s="12" t="n">
        <f aca="false">G139*H139</f>
        <v>2040</v>
      </c>
    </row>
    <row r="140" customFormat="false" ht="15" hidden="false" customHeight="false" outlineLevel="0" collapsed="false">
      <c r="A140" s="11" t="s">
        <v>214</v>
      </c>
      <c r="B140" s="18" t="n">
        <v>46284</v>
      </c>
      <c r="C140" s="11" t="s">
        <v>83</v>
      </c>
      <c r="D140" s="11" t="s">
        <v>16</v>
      </c>
      <c r="E140" s="11" t="s">
        <v>23</v>
      </c>
      <c r="F140" s="11" t="s">
        <v>66</v>
      </c>
      <c r="G140" s="11" t="n">
        <v>5</v>
      </c>
      <c r="H140" s="12" t="n">
        <v>340</v>
      </c>
      <c r="I140" s="12" t="n">
        <f aca="false">G140*H140</f>
        <v>1700</v>
      </c>
    </row>
    <row r="141" customFormat="false" ht="15" hidden="false" customHeight="false" outlineLevel="0" collapsed="false">
      <c r="A141" s="11" t="s">
        <v>215</v>
      </c>
      <c r="B141" s="18" t="n">
        <v>46152</v>
      </c>
      <c r="C141" s="11" t="s">
        <v>75</v>
      </c>
      <c r="D141" s="11" t="s">
        <v>15</v>
      </c>
      <c r="E141" s="11" t="s">
        <v>23</v>
      </c>
      <c r="F141" s="11" t="s">
        <v>43</v>
      </c>
      <c r="G141" s="11" t="n">
        <v>4</v>
      </c>
      <c r="H141" s="12" t="n">
        <v>120</v>
      </c>
      <c r="I141" s="12" t="n">
        <f aca="false">G141*H141</f>
        <v>480</v>
      </c>
    </row>
    <row r="142" customFormat="false" ht="15" hidden="false" customHeight="false" outlineLevel="0" collapsed="false">
      <c r="A142" s="11" t="s">
        <v>216</v>
      </c>
      <c r="B142" s="18" t="n">
        <v>46226</v>
      </c>
      <c r="C142" s="11" t="s">
        <v>40</v>
      </c>
      <c r="D142" s="11" t="s">
        <v>17</v>
      </c>
      <c r="E142" s="11" t="s">
        <v>22</v>
      </c>
      <c r="F142" s="11" t="s">
        <v>64</v>
      </c>
      <c r="G142" s="11" t="n">
        <v>8</v>
      </c>
      <c r="H142" s="12" t="n">
        <v>45</v>
      </c>
      <c r="I142" s="12" t="n">
        <f aca="false">G142*H142</f>
        <v>360</v>
      </c>
    </row>
    <row r="143" customFormat="false" ht="15" hidden="false" customHeight="false" outlineLevel="0" collapsed="false">
      <c r="A143" s="11" t="s">
        <v>217</v>
      </c>
      <c r="B143" s="18" t="n">
        <v>46031</v>
      </c>
      <c r="C143" s="11" t="s">
        <v>63</v>
      </c>
      <c r="D143" s="11" t="s">
        <v>18</v>
      </c>
      <c r="E143" s="11" t="s">
        <v>22</v>
      </c>
      <c r="F143" s="11" t="s">
        <v>35</v>
      </c>
      <c r="G143" s="11" t="n">
        <v>1</v>
      </c>
      <c r="H143" s="12" t="n">
        <v>220</v>
      </c>
      <c r="I143" s="12" t="n">
        <f aca="false">G143*H143</f>
        <v>220</v>
      </c>
    </row>
    <row r="144" customFormat="false" ht="15" hidden="false" customHeight="false" outlineLevel="0" collapsed="false">
      <c r="A144" s="11" t="s">
        <v>218</v>
      </c>
      <c r="B144" s="18" t="n">
        <v>46123</v>
      </c>
      <c r="C144" s="11" t="s">
        <v>48</v>
      </c>
      <c r="D144" s="11" t="s">
        <v>17</v>
      </c>
      <c r="E144" s="11" t="s">
        <v>23</v>
      </c>
      <c r="F144" s="11" t="s">
        <v>66</v>
      </c>
      <c r="G144" s="11" t="n">
        <v>4</v>
      </c>
      <c r="H144" s="12" t="n">
        <v>340</v>
      </c>
      <c r="I144" s="12" t="n">
        <f aca="false">G144*H144</f>
        <v>1360</v>
      </c>
    </row>
    <row r="145" customFormat="false" ht="15" hidden="false" customHeight="false" outlineLevel="0" collapsed="false">
      <c r="A145" s="11" t="s">
        <v>219</v>
      </c>
      <c r="B145" s="18" t="n">
        <v>46187</v>
      </c>
      <c r="C145" s="11" t="s">
        <v>71</v>
      </c>
      <c r="D145" s="11" t="s">
        <v>18</v>
      </c>
      <c r="E145" s="11" t="s">
        <v>23</v>
      </c>
      <c r="F145" s="11" t="s">
        <v>38</v>
      </c>
      <c r="G145" s="11" t="n">
        <v>3</v>
      </c>
      <c r="H145" s="12" t="n">
        <v>150</v>
      </c>
      <c r="I145" s="12" t="n">
        <f aca="false">G145*H145</f>
        <v>450</v>
      </c>
    </row>
    <row r="146" customFormat="false" ht="15" hidden="false" customHeight="false" outlineLevel="0" collapsed="false">
      <c r="A146" s="11" t="s">
        <v>220</v>
      </c>
      <c r="B146" s="18" t="n">
        <v>46045</v>
      </c>
      <c r="C146" s="11" t="s">
        <v>117</v>
      </c>
      <c r="D146" s="11" t="s">
        <v>15</v>
      </c>
      <c r="E146" s="11" t="s">
        <v>23</v>
      </c>
      <c r="F146" s="11" t="s">
        <v>43</v>
      </c>
      <c r="G146" s="11" t="n">
        <v>7</v>
      </c>
      <c r="H146" s="12" t="n">
        <v>120</v>
      </c>
      <c r="I146" s="12" t="n">
        <f aca="false">G146*H146</f>
        <v>840</v>
      </c>
    </row>
    <row r="147" customFormat="false" ht="15" hidden="false" customHeight="false" outlineLevel="0" collapsed="false">
      <c r="A147" s="11" t="s">
        <v>221</v>
      </c>
      <c r="B147" s="18" t="n">
        <v>46249</v>
      </c>
      <c r="C147" s="11" t="s">
        <v>139</v>
      </c>
      <c r="D147" s="11" t="s">
        <v>15</v>
      </c>
      <c r="E147" s="11" t="s">
        <v>23</v>
      </c>
      <c r="F147" s="11" t="s">
        <v>38</v>
      </c>
      <c r="G147" s="11" t="n">
        <v>1</v>
      </c>
      <c r="H147" s="12" t="n">
        <v>150</v>
      </c>
      <c r="I147" s="12" t="n">
        <f aca="false">G147*H147</f>
        <v>150</v>
      </c>
    </row>
    <row r="148" customFormat="false" ht="15" hidden="false" customHeight="false" outlineLevel="0" collapsed="false">
      <c r="A148" s="11" t="s">
        <v>222</v>
      </c>
      <c r="B148" s="18" t="n">
        <v>46161</v>
      </c>
      <c r="C148" s="11" t="s">
        <v>37</v>
      </c>
      <c r="D148" s="11" t="s">
        <v>16</v>
      </c>
      <c r="E148" s="11" t="s">
        <v>24</v>
      </c>
      <c r="F148" s="11" t="s">
        <v>59</v>
      </c>
      <c r="G148" s="11" t="n">
        <v>1</v>
      </c>
      <c r="H148" s="12" t="n">
        <v>9</v>
      </c>
      <c r="I148" s="12" t="n">
        <f aca="false">G148*H148</f>
        <v>9</v>
      </c>
    </row>
    <row r="149" customFormat="false" ht="15" hidden="false" customHeight="false" outlineLevel="0" collapsed="false">
      <c r="A149" s="11" t="s">
        <v>223</v>
      </c>
      <c r="B149" s="18" t="n">
        <v>46166</v>
      </c>
      <c r="C149" s="11" t="s">
        <v>136</v>
      </c>
      <c r="D149" s="11" t="s">
        <v>15</v>
      </c>
      <c r="E149" s="11" t="s">
        <v>23</v>
      </c>
      <c r="F149" s="11" t="s">
        <v>38</v>
      </c>
      <c r="G149" s="11" t="n">
        <v>3</v>
      </c>
      <c r="H149" s="12" t="n">
        <v>150</v>
      </c>
      <c r="I149" s="12" t="n">
        <f aca="false">G149*H149</f>
        <v>450</v>
      </c>
    </row>
    <row r="150" customFormat="false" ht="15" hidden="false" customHeight="false" outlineLevel="0" collapsed="false">
      <c r="A150" s="11" t="s">
        <v>224</v>
      </c>
      <c r="B150" s="18" t="n">
        <v>46061</v>
      </c>
      <c r="C150" s="11" t="s">
        <v>53</v>
      </c>
      <c r="D150" s="11" t="s">
        <v>18</v>
      </c>
      <c r="E150" s="11" t="s">
        <v>23</v>
      </c>
      <c r="F150" s="11" t="s">
        <v>97</v>
      </c>
      <c r="G150" s="11" t="n">
        <v>5</v>
      </c>
      <c r="H150" s="12" t="n">
        <v>35</v>
      </c>
      <c r="I150" s="12" t="n">
        <f aca="false">G150*H150</f>
        <v>175</v>
      </c>
    </row>
    <row r="151" customFormat="false" ht="15" hidden="false" customHeight="false" outlineLevel="0" collapsed="false">
      <c r="A151" s="11" t="s">
        <v>225</v>
      </c>
      <c r="B151" s="18" t="n">
        <v>46172</v>
      </c>
      <c r="C151" s="11" t="s">
        <v>58</v>
      </c>
      <c r="D151" s="11" t="s">
        <v>18</v>
      </c>
      <c r="E151" s="11" t="s">
        <v>23</v>
      </c>
      <c r="F151" s="11" t="s">
        <v>66</v>
      </c>
      <c r="G151" s="11" t="n">
        <v>1</v>
      </c>
      <c r="H151" s="12" t="n">
        <v>340</v>
      </c>
      <c r="I151" s="12" t="n">
        <f aca="false">G151*H151</f>
        <v>340</v>
      </c>
    </row>
    <row r="152" customFormat="false" ht="15" hidden="false" customHeight="false" outlineLevel="0" collapsed="false">
      <c r="A152" s="11" t="s">
        <v>226</v>
      </c>
      <c r="B152" s="18" t="n">
        <v>46168</v>
      </c>
      <c r="C152" s="11" t="s">
        <v>48</v>
      </c>
      <c r="D152" s="11" t="s">
        <v>15</v>
      </c>
      <c r="E152" s="11" t="s">
        <v>24</v>
      </c>
      <c r="F152" s="11" t="s">
        <v>54</v>
      </c>
      <c r="G152" s="11" t="n">
        <v>10</v>
      </c>
      <c r="H152" s="12" t="n">
        <v>12</v>
      </c>
      <c r="I152" s="12" t="n">
        <f aca="false">G152*H152</f>
        <v>120</v>
      </c>
    </row>
    <row r="153" customFormat="false" ht="15" hidden="false" customHeight="false" outlineLevel="0" collapsed="false">
      <c r="A153" s="11" t="s">
        <v>227</v>
      </c>
      <c r="B153" s="18" t="n">
        <v>46048</v>
      </c>
      <c r="C153" s="11" t="s">
        <v>37</v>
      </c>
      <c r="D153" s="11" t="s">
        <v>15</v>
      </c>
      <c r="E153" s="11" t="s">
        <v>22</v>
      </c>
      <c r="F153" s="11" t="s">
        <v>35</v>
      </c>
      <c r="G153" s="11" t="n">
        <v>6</v>
      </c>
      <c r="H153" s="12" t="n">
        <v>220</v>
      </c>
      <c r="I153" s="12" t="n">
        <f aca="false">G153*H153</f>
        <v>1320</v>
      </c>
    </row>
    <row r="154" customFormat="false" ht="15" hidden="false" customHeight="false" outlineLevel="0" collapsed="false">
      <c r="A154" s="11" t="s">
        <v>228</v>
      </c>
      <c r="B154" s="18" t="n">
        <v>46101</v>
      </c>
      <c r="C154" s="11" t="s">
        <v>110</v>
      </c>
      <c r="D154" s="11" t="s">
        <v>16</v>
      </c>
      <c r="E154" s="11" t="s">
        <v>24</v>
      </c>
      <c r="F154" s="11" t="s">
        <v>56</v>
      </c>
      <c r="G154" s="11" t="n">
        <v>2</v>
      </c>
      <c r="H154" s="12" t="n">
        <v>7</v>
      </c>
      <c r="I154" s="12" t="n">
        <f aca="false">G154*H154</f>
        <v>14</v>
      </c>
    </row>
    <row r="155" customFormat="false" ht="15" hidden="false" customHeight="false" outlineLevel="0" collapsed="false">
      <c r="A155" s="11" t="s">
        <v>229</v>
      </c>
      <c r="B155" s="18" t="n">
        <v>46058</v>
      </c>
      <c r="C155" s="11" t="s">
        <v>147</v>
      </c>
      <c r="D155" s="11" t="s">
        <v>16</v>
      </c>
      <c r="E155" s="11" t="s">
        <v>23</v>
      </c>
      <c r="F155" s="11" t="s">
        <v>38</v>
      </c>
      <c r="G155" s="11" t="n">
        <v>10</v>
      </c>
      <c r="H155" s="12" t="n">
        <v>150</v>
      </c>
      <c r="I155" s="12" t="n">
        <f aca="false">G155*H155</f>
        <v>1500</v>
      </c>
    </row>
    <row r="156" customFormat="false" ht="15" hidden="false" customHeight="false" outlineLevel="0" collapsed="false">
      <c r="A156" s="11" t="s">
        <v>230</v>
      </c>
      <c r="B156" s="18" t="n">
        <v>46092</v>
      </c>
      <c r="C156" s="11" t="s">
        <v>45</v>
      </c>
      <c r="D156" s="11" t="s">
        <v>15</v>
      </c>
      <c r="E156" s="11" t="s">
        <v>23</v>
      </c>
      <c r="F156" s="11" t="s">
        <v>97</v>
      </c>
      <c r="G156" s="11" t="n">
        <v>4</v>
      </c>
      <c r="H156" s="12" t="n">
        <v>35</v>
      </c>
      <c r="I156" s="12" t="n">
        <f aca="false">G156*H156</f>
        <v>140</v>
      </c>
    </row>
    <row r="157" customFormat="false" ht="15" hidden="false" customHeight="false" outlineLevel="0" collapsed="false">
      <c r="A157" s="11" t="s">
        <v>231</v>
      </c>
      <c r="B157" s="18" t="n">
        <v>46112</v>
      </c>
      <c r="C157" s="11" t="s">
        <v>141</v>
      </c>
      <c r="D157" s="11" t="s">
        <v>17</v>
      </c>
      <c r="E157" s="11" t="s">
        <v>22</v>
      </c>
      <c r="F157" s="11" t="s">
        <v>64</v>
      </c>
      <c r="G157" s="11" t="n">
        <v>4</v>
      </c>
      <c r="H157" s="12" t="n">
        <v>45</v>
      </c>
      <c r="I157" s="12" t="n">
        <f aca="false">G157*H157</f>
        <v>180</v>
      </c>
    </row>
    <row r="158" customFormat="false" ht="15" hidden="false" customHeight="false" outlineLevel="0" collapsed="false">
      <c r="A158" s="11" t="s">
        <v>232</v>
      </c>
      <c r="B158" s="18" t="n">
        <v>46116</v>
      </c>
      <c r="C158" s="11" t="s">
        <v>147</v>
      </c>
      <c r="D158" s="11" t="s">
        <v>15</v>
      </c>
      <c r="E158" s="11" t="s">
        <v>24</v>
      </c>
      <c r="F158" s="11" t="s">
        <v>56</v>
      </c>
      <c r="G158" s="11" t="n">
        <v>4</v>
      </c>
      <c r="H158" s="12" t="n">
        <v>7</v>
      </c>
      <c r="I158" s="12" t="n">
        <f aca="false">G158*H158</f>
        <v>28</v>
      </c>
    </row>
    <row r="159" customFormat="false" ht="15" hidden="false" customHeight="false" outlineLevel="0" collapsed="false">
      <c r="A159" s="11" t="s">
        <v>233</v>
      </c>
      <c r="B159" s="18" t="n">
        <v>46227</v>
      </c>
      <c r="C159" s="11" t="s">
        <v>114</v>
      </c>
      <c r="D159" s="11" t="s">
        <v>17</v>
      </c>
      <c r="E159" s="11" t="s">
        <v>24</v>
      </c>
      <c r="F159" s="11" t="s">
        <v>56</v>
      </c>
      <c r="G159" s="11" t="n">
        <v>2</v>
      </c>
      <c r="H159" s="12" t="n">
        <v>7</v>
      </c>
      <c r="I159" s="12" t="n">
        <f aca="false">G159*H159</f>
        <v>14</v>
      </c>
    </row>
    <row r="160" customFormat="false" ht="15" hidden="false" customHeight="false" outlineLevel="0" collapsed="false">
      <c r="A160" s="11" t="s">
        <v>234</v>
      </c>
      <c r="B160" s="18" t="n">
        <v>46227</v>
      </c>
      <c r="C160" s="11" t="s">
        <v>90</v>
      </c>
      <c r="D160" s="11" t="s">
        <v>18</v>
      </c>
      <c r="E160" s="11" t="s">
        <v>24</v>
      </c>
      <c r="F160" s="11" t="s">
        <v>56</v>
      </c>
      <c r="G160" s="11" t="n">
        <v>2</v>
      </c>
      <c r="H160" s="12" t="n">
        <v>7</v>
      </c>
      <c r="I160" s="12" t="n">
        <f aca="false">G160*H160</f>
        <v>14</v>
      </c>
    </row>
    <row r="161" customFormat="false" ht="15" hidden="false" customHeight="false" outlineLevel="0" collapsed="false">
      <c r="A161" s="11" t="s">
        <v>235</v>
      </c>
      <c r="B161" s="18" t="n">
        <v>46144</v>
      </c>
      <c r="C161" s="11" t="s">
        <v>58</v>
      </c>
      <c r="D161" s="11" t="s">
        <v>15</v>
      </c>
      <c r="E161" s="11" t="s">
        <v>23</v>
      </c>
      <c r="F161" s="11" t="s">
        <v>38</v>
      </c>
      <c r="G161" s="11" t="n">
        <v>6</v>
      </c>
      <c r="H161" s="12" t="n">
        <v>150</v>
      </c>
      <c r="I161" s="12" t="n">
        <f aca="false">G161*H161</f>
        <v>900</v>
      </c>
    </row>
    <row r="162" customFormat="false" ht="15" hidden="false" customHeight="false" outlineLevel="0" collapsed="false">
      <c r="A162" s="11" t="s">
        <v>236</v>
      </c>
      <c r="B162" s="18" t="n">
        <v>46186</v>
      </c>
      <c r="C162" s="11" t="s">
        <v>117</v>
      </c>
      <c r="D162" s="11" t="s">
        <v>18</v>
      </c>
      <c r="E162" s="11" t="s">
        <v>24</v>
      </c>
      <c r="F162" s="11" t="s">
        <v>59</v>
      </c>
      <c r="G162" s="11" t="n">
        <v>6</v>
      </c>
      <c r="H162" s="12" t="n">
        <v>9</v>
      </c>
      <c r="I162" s="12" t="n">
        <f aca="false">G162*H162</f>
        <v>54</v>
      </c>
    </row>
    <row r="163" customFormat="false" ht="15" hidden="false" customHeight="false" outlineLevel="0" collapsed="false">
      <c r="A163" s="11" t="s">
        <v>237</v>
      </c>
      <c r="B163" s="18" t="n">
        <v>46035</v>
      </c>
      <c r="C163" s="11" t="s">
        <v>58</v>
      </c>
      <c r="D163" s="11" t="s">
        <v>17</v>
      </c>
      <c r="E163" s="11" t="s">
        <v>22</v>
      </c>
      <c r="F163" s="11" t="s">
        <v>35</v>
      </c>
      <c r="G163" s="11" t="n">
        <v>7</v>
      </c>
      <c r="H163" s="12" t="n">
        <v>220</v>
      </c>
      <c r="I163" s="12" t="n">
        <f aca="false">G163*H163</f>
        <v>1540</v>
      </c>
    </row>
    <row r="164" customFormat="false" ht="15" hidden="false" customHeight="false" outlineLevel="0" collapsed="false">
      <c r="A164" s="11" t="s">
        <v>238</v>
      </c>
      <c r="B164" s="18" t="n">
        <v>46128</v>
      </c>
      <c r="C164" s="11" t="s">
        <v>139</v>
      </c>
      <c r="D164" s="11" t="s">
        <v>15</v>
      </c>
      <c r="E164" s="11" t="s">
        <v>22</v>
      </c>
      <c r="F164" s="11" t="s">
        <v>61</v>
      </c>
      <c r="G164" s="11" t="n">
        <v>1</v>
      </c>
      <c r="H164" s="12" t="n">
        <v>25</v>
      </c>
      <c r="I164" s="12" t="n">
        <f aca="false">G164*H164</f>
        <v>25</v>
      </c>
    </row>
    <row r="165" customFormat="false" ht="15" hidden="false" customHeight="false" outlineLevel="0" collapsed="false">
      <c r="A165" s="11" t="s">
        <v>239</v>
      </c>
      <c r="B165" s="18" t="n">
        <v>46126</v>
      </c>
      <c r="C165" s="11" t="s">
        <v>83</v>
      </c>
      <c r="D165" s="11" t="s">
        <v>17</v>
      </c>
      <c r="E165" s="11" t="s">
        <v>22</v>
      </c>
      <c r="F165" s="11" t="s">
        <v>35</v>
      </c>
      <c r="G165" s="11" t="n">
        <v>4</v>
      </c>
      <c r="H165" s="12" t="n">
        <v>220</v>
      </c>
      <c r="I165" s="12" t="n">
        <f aca="false">G165*H165</f>
        <v>880</v>
      </c>
    </row>
    <row r="166" customFormat="false" ht="15" hidden="false" customHeight="false" outlineLevel="0" collapsed="false">
      <c r="A166" s="11" t="s">
        <v>240</v>
      </c>
      <c r="B166" s="18" t="n">
        <v>46141</v>
      </c>
      <c r="C166" s="11" t="s">
        <v>141</v>
      </c>
      <c r="D166" s="11" t="s">
        <v>16</v>
      </c>
      <c r="E166" s="11" t="s">
        <v>22</v>
      </c>
      <c r="F166" s="11" t="s">
        <v>92</v>
      </c>
      <c r="G166" s="11" t="n">
        <v>8</v>
      </c>
      <c r="H166" s="12" t="n">
        <v>80</v>
      </c>
      <c r="I166" s="12" t="n">
        <f aca="false">G166*H166</f>
        <v>640</v>
      </c>
    </row>
    <row r="167" customFormat="false" ht="15" hidden="false" customHeight="false" outlineLevel="0" collapsed="false">
      <c r="A167" s="11" t="s">
        <v>241</v>
      </c>
      <c r="B167" s="18" t="n">
        <v>46064</v>
      </c>
      <c r="C167" s="11" t="s">
        <v>37</v>
      </c>
      <c r="D167" s="11" t="s">
        <v>18</v>
      </c>
      <c r="E167" s="11" t="s">
        <v>24</v>
      </c>
      <c r="F167" s="11" t="s">
        <v>119</v>
      </c>
      <c r="G167" s="11" t="n">
        <v>8</v>
      </c>
      <c r="H167" s="12" t="n">
        <v>6</v>
      </c>
      <c r="I167" s="12" t="n">
        <f aca="false">G167*H167</f>
        <v>48</v>
      </c>
    </row>
    <row r="168" customFormat="false" ht="15" hidden="false" customHeight="false" outlineLevel="0" collapsed="false">
      <c r="A168" s="11" t="s">
        <v>242</v>
      </c>
      <c r="B168" s="18" t="n">
        <v>46197</v>
      </c>
      <c r="C168" s="11" t="s">
        <v>132</v>
      </c>
      <c r="D168" s="11" t="s">
        <v>15</v>
      </c>
      <c r="E168" s="11" t="s">
        <v>24</v>
      </c>
      <c r="F168" s="11" t="s">
        <v>54</v>
      </c>
      <c r="G168" s="11" t="n">
        <v>2</v>
      </c>
      <c r="H168" s="12" t="n">
        <v>12</v>
      </c>
      <c r="I168" s="12" t="n">
        <f aca="false">G168*H168</f>
        <v>24</v>
      </c>
    </row>
    <row r="169" customFormat="false" ht="15" hidden="false" customHeight="false" outlineLevel="0" collapsed="false">
      <c r="A169" s="11" t="s">
        <v>243</v>
      </c>
      <c r="B169" s="18" t="n">
        <v>46027</v>
      </c>
      <c r="C169" s="11" t="s">
        <v>40</v>
      </c>
      <c r="D169" s="11" t="s">
        <v>15</v>
      </c>
      <c r="E169" s="11" t="s">
        <v>22</v>
      </c>
      <c r="F169" s="11" t="s">
        <v>35</v>
      </c>
      <c r="G169" s="11" t="n">
        <v>1</v>
      </c>
      <c r="H169" s="12" t="n">
        <v>220</v>
      </c>
      <c r="I169" s="12" t="n">
        <f aca="false">G169*H169</f>
        <v>220</v>
      </c>
    </row>
    <row r="170" customFormat="false" ht="15" hidden="false" customHeight="false" outlineLevel="0" collapsed="false">
      <c r="A170" s="11" t="s">
        <v>244</v>
      </c>
      <c r="B170" s="18" t="n">
        <v>46115</v>
      </c>
      <c r="C170" s="11" t="s">
        <v>90</v>
      </c>
      <c r="D170" s="11" t="s">
        <v>15</v>
      </c>
      <c r="E170" s="11" t="s">
        <v>22</v>
      </c>
      <c r="F170" s="11" t="s">
        <v>51</v>
      </c>
      <c r="G170" s="11" t="n">
        <v>7</v>
      </c>
      <c r="H170" s="12" t="n">
        <v>30</v>
      </c>
      <c r="I170" s="12" t="n">
        <f aca="false">G170*H170</f>
        <v>210</v>
      </c>
    </row>
    <row r="171" customFormat="false" ht="15" hidden="false" customHeight="false" outlineLevel="0" collapsed="false">
      <c r="A171" s="11" t="s">
        <v>245</v>
      </c>
      <c r="B171" s="18" t="n">
        <v>46139</v>
      </c>
      <c r="C171" s="11" t="s">
        <v>34</v>
      </c>
      <c r="D171" s="11" t="s">
        <v>16</v>
      </c>
      <c r="E171" s="11" t="s">
        <v>23</v>
      </c>
      <c r="F171" s="11" t="s">
        <v>97</v>
      </c>
      <c r="G171" s="11" t="n">
        <v>7</v>
      </c>
      <c r="H171" s="12" t="n">
        <v>35</v>
      </c>
      <c r="I171" s="12" t="n">
        <f aca="false">G171*H171</f>
        <v>245</v>
      </c>
    </row>
    <row r="172" customFormat="false" ht="15" hidden="false" customHeight="false" outlineLevel="0" collapsed="false">
      <c r="A172" s="11" t="s">
        <v>246</v>
      </c>
      <c r="B172" s="18" t="n">
        <v>46153</v>
      </c>
      <c r="C172" s="11" t="s">
        <v>77</v>
      </c>
      <c r="D172" s="11" t="s">
        <v>15</v>
      </c>
      <c r="E172" s="11" t="s">
        <v>23</v>
      </c>
      <c r="F172" s="11" t="s">
        <v>66</v>
      </c>
      <c r="G172" s="11" t="n">
        <v>6</v>
      </c>
      <c r="H172" s="12" t="n">
        <v>340</v>
      </c>
      <c r="I172" s="12" t="n">
        <f aca="false">G172*H172</f>
        <v>2040</v>
      </c>
    </row>
    <row r="173" customFormat="false" ht="15" hidden="false" customHeight="false" outlineLevel="0" collapsed="false">
      <c r="A173" s="11" t="s">
        <v>247</v>
      </c>
      <c r="B173" s="18" t="n">
        <v>46187</v>
      </c>
      <c r="C173" s="11" t="s">
        <v>136</v>
      </c>
      <c r="D173" s="11" t="s">
        <v>15</v>
      </c>
      <c r="E173" s="11" t="s">
        <v>23</v>
      </c>
      <c r="F173" s="11" t="s">
        <v>38</v>
      </c>
      <c r="G173" s="11" t="n">
        <v>9</v>
      </c>
      <c r="H173" s="12" t="n">
        <v>150</v>
      </c>
      <c r="I173" s="12" t="n">
        <f aca="false">G173*H173</f>
        <v>1350</v>
      </c>
    </row>
    <row r="174" customFormat="false" ht="15" hidden="false" customHeight="false" outlineLevel="0" collapsed="false">
      <c r="A174" s="11" t="s">
        <v>248</v>
      </c>
      <c r="B174" s="18" t="n">
        <v>46289</v>
      </c>
      <c r="C174" s="11" t="s">
        <v>99</v>
      </c>
      <c r="D174" s="11" t="s">
        <v>17</v>
      </c>
      <c r="E174" s="11" t="s">
        <v>24</v>
      </c>
      <c r="F174" s="11" t="s">
        <v>59</v>
      </c>
      <c r="G174" s="11" t="n">
        <v>7</v>
      </c>
      <c r="H174" s="12" t="n">
        <v>9</v>
      </c>
      <c r="I174" s="12" t="n">
        <f aca="false">G174*H174</f>
        <v>63</v>
      </c>
    </row>
    <row r="175" customFormat="false" ht="15" hidden="false" customHeight="false" outlineLevel="0" collapsed="false">
      <c r="A175" s="11" t="s">
        <v>249</v>
      </c>
      <c r="B175" s="18" t="n">
        <v>46134</v>
      </c>
      <c r="C175" s="11" t="s">
        <v>136</v>
      </c>
      <c r="D175" s="11" t="s">
        <v>17</v>
      </c>
      <c r="E175" s="11" t="s">
        <v>24</v>
      </c>
      <c r="F175" s="11" t="s">
        <v>46</v>
      </c>
      <c r="G175" s="11" t="n">
        <v>7</v>
      </c>
      <c r="H175" s="12" t="n">
        <v>15</v>
      </c>
      <c r="I175" s="12" t="n">
        <f aca="false">G175*H175</f>
        <v>105</v>
      </c>
    </row>
    <row r="176" customFormat="false" ht="15" hidden="false" customHeight="false" outlineLevel="0" collapsed="false">
      <c r="A176" s="11" t="s">
        <v>250</v>
      </c>
      <c r="B176" s="18" t="n">
        <v>46052</v>
      </c>
      <c r="C176" s="11" t="s">
        <v>40</v>
      </c>
      <c r="D176" s="11" t="s">
        <v>15</v>
      </c>
      <c r="E176" s="11" t="s">
        <v>23</v>
      </c>
      <c r="F176" s="11" t="s">
        <v>38</v>
      </c>
      <c r="G176" s="11" t="n">
        <v>5</v>
      </c>
      <c r="H176" s="12" t="n">
        <v>150</v>
      </c>
      <c r="I176" s="12" t="n">
        <f aca="false">G176*H176</f>
        <v>750</v>
      </c>
    </row>
    <row r="177" customFormat="false" ht="15" hidden="false" customHeight="false" outlineLevel="0" collapsed="false">
      <c r="A177" s="11" t="s">
        <v>251</v>
      </c>
      <c r="B177" s="18" t="n">
        <v>46073</v>
      </c>
      <c r="C177" s="11" t="s">
        <v>48</v>
      </c>
      <c r="D177" s="11" t="s">
        <v>16</v>
      </c>
      <c r="E177" s="11" t="s">
        <v>24</v>
      </c>
      <c r="F177" s="11" t="s">
        <v>46</v>
      </c>
      <c r="G177" s="11" t="n">
        <v>7</v>
      </c>
      <c r="H177" s="12" t="n">
        <v>15</v>
      </c>
      <c r="I177" s="12" t="n">
        <f aca="false">G177*H177</f>
        <v>105</v>
      </c>
    </row>
    <row r="178" customFormat="false" ht="15" hidden="false" customHeight="false" outlineLevel="0" collapsed="false">
      <c r="A178" s="11" t="s">
        <v>252</v>
      </c>
      <c r="B178" s="18" t="n">
        <v>46280</v>
      </c>
      <c r="C178" s="11" t="s">
        <v>71</v>
      </c>
      <c r="D178" s="11" t="s">
        <v>18</v>
      </c>
      <c r="E178" s="11" t="s">
        <v>24</v>
      </c>
      <c r="F178" s="11" t="s">
        <v>46</v>
      </c>
      <c r="G178" s="11" t="n">
        <v>2</v>
      </c>
      <c r="H178" s="12" t="n">
        <v>15</v>
      </c>
      <c r="I178" s="12" t="n">
        <f aca="false">G178*H178</f>
        <v>30</v>
      </c>
    </row>
    <row r="179" customFormat="false" ht="15" hidden="false" customHeight="false" outlineLevel="0" collapsed="false">
      <c r="A179" s="11" t="s">
        <v>253</v>
      </c>
      <c r="B179" s="18" t="n">
        <v>46148</v>
      </c>
      <c r="C179" s="11" t="s">
        <v>63</v>
      </c>
      <c r="D179" s="11" t="s">
        <v>17</v>
      </c>
      <c r="E179" s="11" t="s">
        <v>24</v>
      </c>
      <c r="F179" s="11" t="s">
        <v>54</v>
      </c>
      <c r="G179" s="11" t="n">
        <v>1</v>
      </c>
      <c r="H179" s="12" t="n">
        <v>12</v>
      </c>
      <c r="I179" s="12" t="n">
        <f aca="false">G179*H179</f>
        <v>12</v>
      </c>
    </row>
    <row r="180" customFormat="false" ht="15" hidden="false" customHeight="false" outlineLevel="0" collapsed="false">
      <c r="A180" s="11" t="s">
        <v>254</v>
      </c>
      <c r="B180" s="18" t="n">
        <v>46273</v>
      </c>
      <c r="C180" s="11" t="s">
        <v>77</v>
      </c>
      <c r="D180" s="11" t="s">
        <v>16</v>
      </c>
      <c r="E180" s="11" t="s">
        <v>22</v>
      </c>
      <c r="F180" s="11" t="s">
        <v>51</v>
      </c>
      <c r="G180" s="11" t="n">
        <v>6</v>
      </c>
      <c r="H180" s="12" t="n">
        <v>30</v>
      </c>
      <c r="I180" s="12" t="n">
        <f aca="false">G180*H180</f>
        <v>180</v>
      </c>
    </row>
    <row r="181" customFormat="false" ht="15" hidden="false" customHeight="false" outlineLevel="0" collapsed="false">
      <c r="A181" s="11" t="s">
        <v>255</v>
      </c>
      <c r="B181" s="18" t="n">
        <v>46287</v>
      </c>
      <c r="C181" s="11" t="s">
        <v>83</v>
      </c>
      <c r="D181" s="11" t="s">
        <v>16</v>
      </c>
      <c r="E181" s="11" t="s">
        <v>23</v>
      </c>
      <c r="F181" s="11" t="s">
        <v>38</v>
      </c>
      <c r="G181" s="11" t="n">
        <v>7</v>
      </c>
      <c r="H181" s="12" t="n">
        <v>150</v>
      </c>
      <c r="I181" s="12" t="n">
        <f aca="false">G181*H181</f>
        <v>1050</v>
      </c>
    </row>
    <row r="182" customFormat="false" ht="15" hidden="false" customHeight="false" outlineLevel="0" collapsed="false">
      <c r="A182" s="11" t="s">
        <v>256</v>
      </c>
      <c r="B182" s="18" t="n">
        <v>46173</v>
      </c>
      <c r="C182" s="11" t="s">
        <v>68</v>
      </c>
      <c r="D182" s="11" t="s">
        <v>18</v>
      </c>
      <c r="E182" s="11" t="s">
        <v>24</v>
      </c>
      <c r="F182" s="11" t="s">
        <v>59</v>
      </c>
      <c r="G182" s="11" t="n">
        <v>3</v>
      </c>
      <c r="H182" s="12" t="n">
        <v>9</v>
      </c>
      <c r="I182" s="12" t="n">
        <f aca="false">G182*H182</f>
        <v>27</v>
      </c>
    </row>
    <row r="183" customFormat="false" ht="15" hidden="false" customHeight="false" outlineLevel="0" collapsed="false">
      <c r="A183" s="11" t="s">
        <v>257</v>
      </c>
      <c r="B183" s="18" t="n">
        <v>46056</v>
      </c>
      <c r="C183" s="11" t="s">
        <v>53</v>
      </c>
      <c r="D183" s="11" t="s">
        <v>18</v>
      </c>
      <c r="E183" s="11" t="s">
        <v>22</v>
      </c>
      <c r="F183" s="11" t="s">
        <v>51</v>
      </c>
      <c r="G183" s="11" t="n">
        <v>4</v>
      </c>
      <c r="H183" s="12" t="n">
        <v>30</v>
      </c>
      <c r="I183" s="12" t="n">
        <f aca="false">G183*H183</f>
        <v>120</v>
      </c>
    </row>
    <row r="184" customFormat="false" ht="15" hidden="false" customHeight="false" outlineLevel="0" collapsed="false">
      <c r="A184" s="11" t="s">
        <v>258</v>
      </c>
      <c r="B184" s="18" t="n">
        <v>46151</v>
      </c>
      <c r="C184" s="11" t="s">
        <v>79</v>
      </c>
      <c r="D184" s="11" t="s">
        <v>18</v>
      </c>
      <c r="E184" s="11" t="s">
        <v>24</v>
      </c>
      <c r="F184" s="11" t="s">
        <v>56</v>
      </c>
      <c r="G184" s="11" t="n">
        <v>7</v>
      </c>
      <c r="H184" s="12" t="n">
        <v>7</v>
      </c>
      <c r="I184" s="12" t="n">
        <f aca="false">G184*H184</f>
        <v>49</v>
      </c>
    </row>
    <row r="185" customFormat="false" ht="15" hidden="false" customHeight="false" outlineLevel="0" collapsed="false">
      <c r="A185" s="11" t="s">
        <v>259</v>
      </c>
      <c r="B185" s="18" t="n">
        <v>46272</v>
      </c>
      <c r="C185" s="11" t="s">
        <v>139</v>
      </c>
      <c r="D185" s="11" t="s">
        <v>17</v>
      </c>
      <c r="E185" s="11" t="s">
        <v>24</v>
      </c>
      <c r="F185" s="11" t="s">
        <v>59</v>
      </c>
      <c r="G185" s="11" t="n">
        <v>7</v>
      </c>
      <c r="H185" s="12" t="n">
        <v>9</v>
      </c>
      <c r="I185" s="12" t="n">
        <f aca="false">G185*H185</f>
        <v>63</v>
      </c>
    </row>
    <row r="186" customFormat="false" ht="15" hidden="false" customHeight="false" outlineLevel="0" collapsed="false">
      <c r="A186" s="11" t="s">
        <v>260</v>
      </c>
      <c r="B186" s="18" t="n">
        <v>46088</v>
      </c>
      <c r="C186" s="11" t="s">
        <v>132</v>
      </c>
      <c r="D186" s="11" t="s">
        <v>16</v>
      </c>
      <c r="E186" s="11" t="s">
        <v>24</v>
      </c>
      <c r="F186" s="11" t="s">
        <v>56</v>
      </c>
      <c r="G186" s="11" t="n">
        <v>4</v>
      </c>
      <c r="H186" s="12" t="n">
        <v>7</v>
      </c>
      <c r="I186" s="12" t="n">
        <f aca="false">G186*H186</f>
        <v>28</v>
      </c>
    </row>
    <row r="187" customFormat="false" ht="15" hidden="false" customHeight="false" outlineLevel="0" collapsed="false">
      <c r="A187" s="11" t="s">
        <v>261</v>
      </c>
      <c r="B187" s="18" t="n">
        <v>46258</v>
      </c>
      <c r="C187" s="11" t="s">
        <v>53</v>
      </c>
      <c r="D187" s="11" t="s">
        <v>15</v>
      </c>
      <c r="E187" s="11" t="s">
        <v>24</v>
      </c>
      <c r="F187" s="11" t="s">
        <v>119</v>
      </c>
      <c r="G187" s="11" t="n">
        <v>7</v>
      </c>
      <c r="H187" s="12" t="n">
        <v>6</v>
      </c>
      <c r="I187" s="12" t="n">
        <f aca="false">G187*H187</f>
        <v>42</v>
      </c>
    </row>
    <row r="188" customFormat="false" ht="15" hidden="false" customHeight="false" outlineLevel="0" collapsed="false">
      <c r="A188" s="11" t="s">
        <v>262</v>
      </c>
      <c r="B188" s="18" t="n">
        <v>46179</v>
      </c>
      <c r="C188" s="11" t="s">
        <v>263</v>
      </c>
      <c r="D188" s="11" t="s">
        <v>16</v>
      </c>
      <c r="E188" s="11" t="s">
        <v>22</v>
      </c>
      <c r="F188" s="11" t="s">
        <v>64</v>
      </c>
      <c r="G188" s="11" t="n">
        <v>2</v>
      </c>
      <c r="H188" s="12" t="n">
        <v>45</v>
      </c>
      <c r="I188" s="12" t="n">
        <f aca="false">G188*H188</f>
        <v>90</v>
      </c>
    </row>
    <row r="189" customFormat="false" ht="15" hidden="false" customHeight="false" outlineLevel="0" collapsed="false">
      <c r="A189" s="11" t="s">
        <v>264</v>
      </c>
      <c r="B189" s="18" t="n">
        <v>46179</v>
      </c>
      <c r="C189" s="11" t="s">
        <v>99</v>
      </c>
      <c r="D189" s="11" t="s">
        <v>15</v>
      </c>
      <c r="E189" s="11" t="s">
        <v>24</v>
      </c>
      <c r="F189" s="11" t="s">
        <v>46</v>
      </c>
      <c r="G189" s="11" t="n">
        <v>7</v>
      </c>
      <c r="H189" s="12" t="n">
        <v>15</v>
      </c>
      <c r="I189" s="12" t="n">
        <f aca="false">G189*H189</f>
        <v>105</v>
      </c>
    </row>
    <row r="190" customFormat="false" ht="15" hidden="false" customHeight="false" outlineLevel="0" collapsed="false">
      <c r="A190" s="11" t="s">
        <v>265</v>
      </c>
      <c r="B190" s="18" t="n">
        <v>46104</v>
      </c>
      <c r="C190" s="11" t="s">
        <v>37</v>
      </c>
      <c r="D190" s="11" t="s">
        <v>16</v>
      </c>
      <c r="E190" s="11" t="s">
        <v>24</v>
      </c>
      <c r="F190" s="11" t="s">
        <v>119</v>
      </c>
      <c r="G190" s="11" t="n">
        <v>4</v>
      </c>
      <c r="H190" s="12" t="n">
        <v>6</v>
      </c>
      <c r="I190" s="12" t="n">
        <f aca="false">G190*H190</f>
        <v>24</v>
      </c>
    </row>
    <row r="191" customFormat="false" ht="15" hidden="false" customHeight="false" outlineLevel="0" collapsed="false">
      <c r="A191" s="11" t="s">
        <v>266</v>
      </c>
      <c r="B191" s="18" t="n">
        <v>46095</v>
      </c>
      <c r="C191" s="11" t="s">
        <v>63</v>
      </c>
      <c r="D191" s="11" t="s">
        <v>18</v>
      </c>
      <c r="E191" s="11" t="s">
        <v>23</v>
      </c>
      <c r="F191" s="11" t="s">
        <v>97</v>
      </c>
      <c r="G191" s="11" t="n">
        <v>9</v>
      </c>
      <c r="H191" s="12" t="n">
        <v>35</v>
      </c>
      <c r="I191" s="12" t="n">
        <f aca="false">G191*H191</f>
        <v>315</v>
      </c>
    </row>
    <row r="192" customFormat="false" ht="15" hidden="false" customHeight="false" outlineLevel="0" collapsed="false">
      <c r="A192" s="11" t="s">
        <v>267</v>
      </c>
      <c r="B192" s="18" t="n">
        <v>46161</v>
      </c>
      <c r="C192" s="11" t="s">
        <v>114</v>
      </c>
      <c r="D192" s="11" t="s">
        <v>15</v>
      </c>
      <c r="E192" s="11" t="s">
        <v>23</v>
      </c>
      <c r="F192" s="11" t="s">
        <v>66</v>
      </c>
      <c r="G192" s="11" t="n">
        <v>3</v>
      </c>
      <c r="H192" s="12" t="n">
        <v>340</v>
      </c>
      <c r="I192" s="12" t="n">
        <f aca="false">G192*H192</f>
        <v>1020</v>
      </c>
    </row>
    <row r="193" customFormat="false" ht="15" hidden="false" customHeight="false" outlineLevel="0" collapsed="false">
      <c r="A193" s="11" t="s">
        <v>268</v>
      </c>
      <c r="B193" s="18" t="n">
        <v>46073</v>
      </c>
      <c r="C193" s="11" t="s">
        <v>34</v>
      </c>
      <c r="D193" s="11" t="s">
        <v>17</v>
      </c>
      <c r="E193" s="11" t="s">
        <v>22</v>
      </c>
      <c r="F193" s="11" t="s">
        <v>51</v>
      </c>
      <c r="G193" s="11" t="n">
        <v>3</v>
      </c>
      <c r="H193" s="12" t="n">
        <v>30</v>
      </c>
      <c r="I193" s="12" t="n">
        <f aca="false">G193*H193</f>
        <v>90</v>
      </c>
    </row>
    <row r="194" customFormat="false" ht="15" hidden="false" customHeight="false" outlineLevel="0" collapsed="false">
      <c r="A194" s="11" t="s">
        <v>269</v>
      </c>
      <c r="B194" s="18" t="n">
        <v>46104</v>
      </c>
      <c r="C194" s="11" t="s">
        <v>68</v>
      </c>
      <c r="D194" s="11" t="s">
        <v>18</v>
      </c>
      <c r="E194" s="11" t="s">
        <v>24</v>
      </c>
      <c r="F194" s="11" t="s">
        <v>56</v>
      </c>
      <c r="G194" s="11" t="n">
        <v>2</v>
      </c>
      <c r="H194" s="12" t="n">
        <v>7</v>
      </c>
      <c r="I194" s="12" t="n">
        <f aca="false">G194*H194</f>
        <v>14</v>
      </c>
    </row>
    <row r="195" customFormat="false" ht="15" hidden="false" customHeight="false" outlineLevel="0" collapsed="false">
      <c r="A195" s="11" t="s">
        <v>270</v>
      </c>
      <c r="B195" s="18" t="n">
        <v>46084</v>
      </c>
      <c r="C195" s="11" t="s">
        <v>114</v>
      </c>
      <c r="D195" s="11" t="s">
        <v>15</v>
      </c>
      <c r="E195" s="11" t="s">
        <v>24</v>
      </c>
      <c r="F195" s="11" t="s">
        <v>56</v>
      </c>
      <c r="G195" s="11" t="n">
        <v>5</v>
      </c>
      <c r="H195" s="12" t="n">
        <v>7</v>
      </c>
      <c r="I195" s="12" t="n">
        <f aca="false">G195*H195</f>
        <v>35</v>
      </c>
    </row>
    <row r="196" customFormat="false" ht="15" hidden="false" customHeight="false" outlineLevel="0" collapsed="false">
      <c r="A196" s="11" t="s">
        <v>271</v>
      </c>
      <c r="B196" s="18" t="n">
        <v>46196</v>
      </c>
      <c r="C196" s="11" t="s">
        <v>79</v>
      </c>
      <c r="D196" s="11" t="s">
        <v>15</v>
      </c>
      <c r="E196" s="11" t="s">
        <v>22</v>
      </c>
      <c r="F196" s="11" t="s">
        <v>92</v>
      </c>
      <c r="G196" s="11" t="n">
        <v>3</v>
      </c>
      <c r="H196" s="12" t="n">
        <v>80</v>
      </c>
      <c r="I196" s="12" t="n">
        <f aca="false">G196*H196</f>
        <v>240</v>
      </c>
    </row>
    <row r="197" customFormat="false" ht="15" hidden="false" customHeight="false" outlineLevel="0" collapsed="false">
      <c r="A197" s="11" t="s">
        <v>272</v>
      </c>
      <c r="B197" s="18" t="n">
        <v>46264</v>
      </c>
      <c r="C197" s="11" t="s">
        <v>37</v>
      </c>
      <c r="D197" s="11" t="s">
        <v>18</v>
      </c>
      <c r="E197" s="11" t="s">
        <v>24</v>
      </c>
      <c r="F197" s="11" t="s">
        <v>46</v>
      </c>
      <c r="G197" s="11" t="n">
        <v>2</v>
      </c>
      <c r="H197" s="12" t="n">
        <v>15</v>
      </c>
      <c r="I197" s="12" t="n">
        <f aca="false">G197*H197</f>
        <v>30</v>
      </c>
    </row>
    <row r="198" customFormat="false" ht="15" hidden="false" customHeight="false" outlineLevel="0" collapsed="false">
      <c r="A198" s="11" t="s">
        <v>273</v>
      </c>
      <c r="B198" s="18" t="n">
        <v>46130</v>
      </c>
      <c r="C198" s="11" t="s">
        <v>68</v>
      </c>
      <c r="D198" s="11" t="s">
        <v>15</v>
      </c>
      <c r="E198" s="11" t="s">
        <v>23</v>
      </c>
      <c r="F198" s="11" t="s">
        <v>97</v>
      </c>
      <c r="G198" s="11" t="n">
        <v>1</v>
      </c>
      <c r="H198" s="12" t="n">
        <v>35</v>
      </c>
      <c r="I198" s="12" t="n">
        <f aca="false">G198*H198</f>
        <v>35</v>
      </c>
    </row>
    <row r="199" customFormat="false" ht="15" hidden="false" customHeight="false" outlineLevel="0" collapsed="false">
      <c r="A199" s="11" t="s">
        <v>274</v>
      </c>
      <c r="B199" s="18" t="n">
        <v>46039</v>
      </c>
      <c r="C199" s="11" t="s">
        <v>40</v>
      </c>
      <c r="D199" s="11" t="s">
        <v>15</v>
      </c>
      <c r="E199" s="11" t="s">
        <v>23</v>
      </c>
      <c r="F199" s="11" t="s">
        <v>97</v>
      </c>
      <c r="G199" s="11" t="n">
        <v>6</v>
      </c>
      <c r="H199" s="12" t="n">
        <v>35</v>
      </c>
      <c r="I199" s="12" t="n">
        <f aca="false">G199*H199</f>
        <v>210</v>
      </c>
    </row>
    <row r="200" customFormat="false" ht="15" hidden="false" customHeight="false" outlineLevel="0" collapsed="false">
      <c r="A200" s="11" t="s">
        <v>275</v>
      </c>
      <c r="B200" s="18" t="n">
        <v>46262</v>
      </c>
      <c r="C200" s="11" t="s">
        <v>71</v>
      </c>
      <c r="D200" s="11" t="s">
        <v>16</v>
      </c>
      <c r="E200" s="11" t="s">
        <v>22</v>
      </c>
      <c r="F200" s="11" t="s">
        <v>35</v>
      </c>
      <c r="G200" s="11" t="n">
        <v>6</v>
      </c>
      <c r="H200" s="12" t="n">
        <v>220</v>
      </c>
      <c r="I200" s="12" t="n">
        <f aca="false">G200*H200</f>
        <v>1320</v>
      </c>
    </row>
    <row r="201" customFormat="false" ht="15" hidden="false" customHeight="false" outlineLevel="0" collapsed="false">
      <c r="A201" s="11" t="s">
        <v>276</v>
      </c>
      <c r="B201" s="18" t="n">
        <v>46292</v>
      </c>
      <c r="C201" s="11" t="s">
        <v>77</v>
      </c>
      <c r="D201" s="11" t="s">
        <v>16</v>
      </c>
      <c r="E201" s="11" t="s">
        <v>24</v>
      </c>
      <c r="F201" s="11" t="s">
        <v>46</v>
      </c>
      <c r="G201" s="11" t="n">
        <v>7</v>
      </c>
      <c r="H201" s="12" t="n">
        <v>15</v>
      </c>
      <c r="I201" s="12" t="n">
        <f aca="false">G201*H201</f>
        <v>105</v>
      </c>
    </row>
  </sheetData>
  <autoFilter ref="A1:I201"/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2026-10-23T07:38:15Z</dcterms:created>
  <dc:creator>openpyxl</dc:creator>
  <dc:description/>
  <dc:language>en-US</dc:language>
  <cp:lastModifiedBy/>
  <dcterms:modified xsi:type="dcterms:W3CDTF">2026-10-23T07:38:16Z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